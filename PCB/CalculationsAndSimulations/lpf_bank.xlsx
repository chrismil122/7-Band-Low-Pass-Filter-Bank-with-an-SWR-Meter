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s" sheetId="1" state="visible" r:id="rId3"/>
    <sheet name="Your Table" sheetId="2" state="visible" r:id="rId4"/>
    <sheet name="Cap BOM" sheetId="3" state="visible" r:id="rId5"/>
    <sheet name="LCSC Part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<sst xmlns="http://schemas.openxmlformats.org/spreadsheetml/2006/main" count="264" uniqueCount="190">
  <si>
    <t xml:space="preserve">HF LPF bank: 7-element Pi Chebyshev (40 m - 10 m, 50 W)</t>
  </si>
  <si>
    <t xml:space="preserve">Legend: blue = input you can edit, black = formula, green = link from another sheet, yellow fill = main design inputs (cutoff frequencies). All C/L values recalculate from them.</t>
  </si>
  <si>
    <t xml:space="preserve">Constants and assumptions</t>
  </si>
  <si>
    <t xml:space="preserve">Value</t>
  </si>
  <si>
    <t xml:space="preserve">Source / note</t>
  </si>
  <si>
    <t xml:space="preserve">Impedance R (ohm)</t>
  </si>
  <si>
    <t xml:space="preserve">Assumed 50 ohm system.</t>
  </si>
  <si>
    <t xml:space="preserve">Chebyshev ripple (dB)</t>
  </si>
  <si>
    <t xml:space="preserve">Prototype is fixed at 0.1 dB. g-values below only match 0.1 dB; replace them if you change this.</t>
  </si>
  <si>
    <t xml:space="preserve">eps^2 (from ripple)</t>
  </si>
  <si>
    <t xml:space="preserve">Formula.</t>
  </si>
  <si>
    <t xml:space="preserve">g1 (= g7)</t>
  </si>
  <si>
    <t xml:space="preserve">Standard 0.1 dB, 7th-order Chebyshev prototype values (Matthaei/Young/Jones; Zverev).</t>
  </si>
  <si>
    <t xml:space="preserve">g2 (= g6)</t>
  </si>
  <si>
    <t xml:space="preserve">Same table.</t>
  </si>
  <si>
    <t xml:space="preserve">g3 (= g5)</t>
  </si>
  <si>
    <t xml:space="preserve">g4</t>
  </si>
  <si>
    <t xml:space="preserve">AL, T68-2 (nH/turn^2)</t>
  </si>
  <si>
    <t xml:space="preserve">Provided by you (T68-2, 5.7 nH/turn^2).</t>
  </si>
  <si>
    <t xml:space="preserve">AL, T68-6 (nH/turn^2)</t>
  </si>
  <si>
    <t xml:space="preserve">Typical Micrometals T68-6 value (assumption, check datasheet).</t>
  </si>
  <si>
    <t xml:space="preserve">Power (W)</t>
  </si>
  <si>
    <t xml:space="preserve">Provided by you (50 W).</t>
  </si>
  <si>
    <t xml:space="preserve">Design SWR for stress check</t>
  </si>
  <si>
    <t xml:space="preserve">Assumption, change as needed.</t>
  </si>
  <si>
    <t xml:space="preserve">Line RMS voltage, matched (V)</t>
  </si>
  <si>
    <t xml:space="preserve">Line peak voltage, matched (V)</t>
  </si>
  <si>
    <t xml:space="preserve">|Gamma| at design SWR</t>
  </si>
  <si>
    <t xml:space="preserve">Max peak voltage at design SWR (V)</t>
  </si>
  <si>
    <t xml:space="preserve">Capacitor voltage rating should be well above this (1206 C0G at 250 V or more is plenty).</t>
  </si>
  <si>
    <t xml:space="preserve">Filter</t>
  </si>
  <si>
    <t xml:space="preserve">Bands</t>
  </si>
  <si>
    <t xml:space="preserve">Lowest band edge (MHz)</t>
  </si>
  <si>
    <t xml:space="preserve">Highest band edge (MHz)</t>
  </si>
  <si>
    <t xml:space="preserve">Cutoff fc (MHz)</t>
  </si>
  <si>
    <t xml:space="preserve">Core</t>
  </si>
  <si>
    <t xml:space="preserve">AL (nH/turn^2)</t>
  </si>
  <si>
    <t xml:space="preserve">C1 = C4 (pF)</t>
  </si>
  <si>
    <t xml:space="preserve">L1 = L3 (uH)</t>
  </si>
  <si>
    <t xml:space="preserve">C2 = C3 (pF)</t>
  </si>
  <si>
    <t xml:space="preserve">L2 (uH)</t>
  </si>
  <si>
    <t xml:space="preserve">Turns L1/L3</t>
  </si>
  <si>
    <t xml:space="preserve">Turns L2</t>
  </si>
  <si>
    <t xml:space="preserve">fc / top band edge</t>
  </si>
  <si>
    <t xml:space="preserve">2nd harmonic rejection at lowest edge (dB)</t>
  </si>
  <si>
    <t xml:space="preserve">3rd harmonic rejection at lowest edge (dB)</t>
  </si>
  <si>
    <t xml:space="preserve">2nd harmonic OK (&gt;= 40 dB)?</t>
  </si>
  <si>
    <t xml:space="preserve">Approx. C2 shunt current at top edge (A RMS)</t>
  </si>
  <si>
    <t xml:space="preserve">1</t>
  </si>
  <si>
    <t xml:space="preserve">40 m</t>
  </si>
  <si>
    <t xml:space="preserve">T68-2</t>
  </si>
  <si>
    <t xml:space="preserve">2</t>
  </si>
  <si>
    <t xml:space="preserve">30 m</t>
  </si>
  <si>
    <t xml:space="preserve">3</t>
  </si>
  <si>
    <t xml:space="preserve">20 m</t>
  </si>
  <si>
    <t xml:space="preserve">4</t>
  </si>
  <si>
    <t xml:space="preserve">17 m + 15 m</t>
  </si>
  <si>
    <t xml:space="preserve">5</t>
  </si>
  <si>
    <t xml:space="preserve">12 m + 10 m</t>
  </si>
  <si>
    <t xml:space="preserve">T68-6</t>
  </si>
  <si>
    <t xml:space="preserve">Notes</t>
  </si>
  <si>
    <t xml:space="preserve">Rejection columns assume ideal components and a matched 50 ohm load; real parts, parasitics and a Class E source will shift these, so verify with a NanoVNA.</t>
  </si>
  <si>
    <t xml:space="preserve">Rejection uses the Chebyshev attenuation formula 10*log10(1 + eps^2 * Tn(w)^2) with w = harmonic frequency / fc and n = 7.</t>
  </si>
  <si>
    <t xml:space="preserve">C2 shunt current is approximate: it assumes the full line voltage across C2 at the top band edge. Interior ladder voltages differ, so treat it as an order-of-magnitude figure for heating.</t>
  </si>
  <si>
    <t xml:space="preserve">Turns are theoretical (sqrt(L/AL)); round to whole turns, then wind and measure each inductor, adjusting by squeezing or spreading turns.</t>
  </si>
  <si>
    <t xml:space="preserve">Filter 5 uses T68-6 because mix 2 loses Q above about 30 MHz. Filter 1 at 8.43 MHz is as you specified; see 'Your Table' for what your original values imply.</t>
  </si>
  <si>
    <t xml:space="preserve">Your original values and the cutoff each one implies</t>
  </si>
  <si>
    <t xml:space="preserve">Blue cells are the values you provided. The implied-cutoff columns invert the 0.1 dB Chebyshev formulas, so a row whose columns disagree was designed for a different cutoff than its label.</t>
  </si>
  <si>
    <t xml:space="preserve">Listed fc (MHz)</t>
  </si>
  <si>
    <t xml:space="preserve">C1 (pF)</t>
  </si>
  <si>
    <t xml:space="preserve">L1 (uH)</t>
  </si>
  <si>
    <t xml:space="preserve">C2 (pF)</t>
  </si>
  <si>
    <t xml:space="preserve">C3 (pF)</t>
  </si>
  <si>
    <t xml:space="preserve">L3 (uH)</t>
  </si>
  <si>
    <t xml:space="preserve">C4 (pF)</t>
  </si>
  <si>
    <t xml:space="preserve">fc implied by C1 (MHz)</t>
  </si>
  <si>
    <t xml:space="preserve">fc implied by L1 (MHz)</t>
  </si>
  <si>
    <t xml:space="preserve">fc implied by C2 (MHz)</t>
  </si>
  <si>
    <t xml:space="preserve">fc implied by L2 (MHz)</t>
  </si>
  <si>
    <t xml:space="preserve">Row 1 (8.43 MHz): the L1/L2 columns imply a cutoff near 7.6-7.8 MHz, about 8-10% below the label. That is fine for 40 m (more harmonic rejection) but check it was intentional.</t>
  </si>
  <si>
    <t xml:space="preserve">Capacitor BOM: two 1 kV+ NP0 1206 parts in parallel per position</t>
  </si>
  <si>
    <t xml:space="preserve">Edit the blue Part A / Part B values (pF). LCSC numbers and stock look up from the 'LCSC Parts' sheet; a value not on that sheet shows 'not verified'. Target pF is linked from the Filters sheet.</t>
  </si>
  <si>
    <t xml:space="preserve">Position</t>
  </si>
  <si>
    <t xml:space="preserve">Target (pF)</t>
  </si>
  <si>
    <t xml:space="preserve">Part A (pF)</t>
  </si>
  <si>
    <t xml:space="preserve">Part A LCSC #</t>
  </si>
  <si>
    <t xml:space="preserve">Part B (pF)</t>
  </si>
  <si>
    <t xml:space="preserve">Part B LCSC #</t>
  </si>
  <si>
    <t xml:space="preserve">Sum (pF)</t>
  </si>
  <si>
    <t xml:space="preserve">Error vs target</t>
  </si>
  <si>
    <t xml:space="preserve">Positions per filter</t>
  </si>
  <si>
    <t xml:space="preserve">Pieces needed</t>
  </si>
  <si>
    <t xml:space="preserve">Lowest stock of A/B</t>
  </si>
  <si>
    <t xml:space="preserve">C1 / C4</t>
  </si>
  <si>
    <t xml:space="preserve">C2 / C3</t>
  </si>
  <si>
    <t xml:space="preserve">Total pieces</t>
  </si>
  <si>
    <t xml:space="preserve">All parts are 1206 NP0/C0G rated 1 kV or higher (the 180 pF part is 2 kV) with an EasyEDA footprint shown on the LCSC page; see 'LCSC Parts' for MPNs, stock and links.</t>
  </si>
  <si>
    <t xml:space="preserve">The 1 kV+ values with good stock and a footprint do not include 120, 150, 270 or 330 pF, so some sums are a few percent off the exact target. Errors are within about 3%, similar to part tolerance (+/-5%).</t>
  </si>
  <si>
    <t xml:space="preserve">Where a single stocked part matches exactly (filter 3: 220 pF C107175 and 390 pF C326659), you can use that one part instead of a pair; a pair splits RF current and heating.</t>
  </si>
  <si>
    <t xml:space="preserve">Positions per filter = 2 because C1 = C4 and C2 = C3. Pieces needed = positions x 2 parts per position.</t>
  </si>
  <si>
    <t xml:space="preserve">Peak line voltage at 50 W is about 71 V (106 V at 3:1 SWR), so a 1 kV rating is far more than needed; see Filters!B17 and B19.</t>
  </si>
  <si>
    <t xml:space="preserve">LCSC capacitors checked: 1206, NP0/C0G, 1 kV or higher, EasyEDA footprint shown</t>
  </si>
  <si>
    <t xml:space="preserve">Stock and footprint status are from the LCSC product pages on 2026-10-11 and will change; recheck before ordering. The EasyEDA footprint was a diagram on each LCSC page; confirm it when you place the part in EasyEDA.</t>
  </si>
  <si>
    <t xml:space="preserve">Value (pF)</t>
  </si>
  <si>
    <t xml:space="preserve">MPN</t>
  </si>
  <si>
    <t xml:space="preserve">Manufacturer</t>
  </si>
  <si>
    <t xml:space="preserve">LCSC #</t>
  </si>
  <si>
    <t xml:space="preserve">Rated voltage (V)</t>
  </si>
  <si>
    <t xml:space="preserve">Dielectric</t>
  </si>
  <si>
    <t xml:space="preserve">Package</t>
  </si>
  <si>
    <t xml:space="preserve">Stock when checked</t>
  </si>
  <si>
    <t xml:space="preserve">EasyEDA footprint</t>
  </si>
  <si>
    <t xml:space="preserve">Qty needed (from Cap BOM)</t>
  </si>
  <si>
    <t xml:space="preserve">Link</t>
  </si>
  <si>
    <t xml:space="preserve">CC1206JKNPOCBN220</t>
  </si>
  <si>
    <t xml:space="preserve">YAGEO</t>
  </si>
  <si>
    <t xml:space="preserve">C107174</t>
  </si>
  <si>
    <t xml:space="preserve">NP0</t>
  </si>
  <si>
    <t xml:space="preserve">1206</t>
  </si>
  <si>
    <t xml:space="preserve">Yes (diagram on LCSC page)</t>
  </si>
  <si>
    <t xml:space="preserve">https://www.lcsc.com/product-detail/C107174.html</t>
  </si>
  <si>
    <t xml:space="preserve">CC1206JKNPOCBN270</t>
  </si>
  <si>
    <t xml:space="preserve">C541492</t>
  </si>
  <si>
    <t xml:space="preserve">https://www.lcsc.com/product-detail/C541492.html</t>
  </si>
  <si>
    <t xml:space="preserve">CC1206JKNPOCBN470</t>
  </si>
  <si>
    <t xml:space="preserve">C107176</t>
  </si>
  <si>
    <t xml:space="preserve">https://www.lcsc.com/product-detail/C107176.html</t>
  </si>
  <si>
    <t xml:space="preserve">CC1206JKNPOCBN680</t>
  </si>
  <si>
    <t xml:space="preserve">C107178</t>
  </si>
  <si>
    <t xml:space="preserve">https://www.lcsc.com/product-detail/C107178.html</t>
  </si>
  <si>
    <t xml:space="preserve">CC1206JKNPOCBN101</t>
  </si>
  <si>
    <t xml:space="preserve">C107173</t>
  </si>
  <si>
    <t xml:space="preserve">https://www.lcsc.com/product-detail/C107173.html</t>
  </si>
  <si>
    <t xml:space="preserve">CC1206JKNPODBN181</t>
  </si>
  <si>
    <t xml:space="preserve">C527266</t>
  </si>
  <si>
    <t xml:space="preserve">https://www.lcsc.com/product-detail/C527266.html</t>
  </si>
  <si>
    <t xml:space="preserve">CC1206JKNPOCBN221</t>
  </si>
  <si>
    <t xml:space="preserve">C107175</t>
  </si>
  <si>
    <t xml:space="preserve">https://www.lcsc.com/product-detail/C107175.html</t>
  </si>
  <si>
    <t xml:space="preserve">CC1206JKNPOCBN391</t>
  </si>
  <si>
    <t xml:space="preserve">C326659</t>
  </si>
  <si>
    <t xml:space="preserve">https://www.lcsc.com/product-detail/C326659.html</t>
  </si>
  <si>
    <t xml:space="preserve">Checked but not used</t>
  </si>
  <si>
    <t xml:space="preserve">Why not used</t>
  </si>
  <si>
    <t xml:space="preserve">CC1206JKNPOCBN471</t>
  </si>
  <si>
    <t xml:space="preserve">C107177</t>
  </si>
  <si>
    <t xml:space="preserve">240</t>
  </si>
  <si>
    <t xml:space="preserve">Low stock</t>
  </si>
  <si>
    <t xml:space="preserve">https://www.lcsc.com/product-detail/C107177.html</t>
  </si>
  <si>
    <t xml:space="preserve">CC1206JKNPOCBN821</t>
  </si>
  <si>
    <t xml:space="preserve">C527262</t>
  </si>
  <si>
    <t xml:space="preserve">13,900</t>
  </si>
  <si>
    <t xml:space="preserve">Image shown, library says 'Not drawn yet'</t>
  </si>
  <si>
    <t xml:space="preserve">EasyEDA footprint not drawn</t>
  </si>
  <si>
    <t xml:space="preserve">https://www.lcsc.com/product-detail/C527262.html</t>
  </si>
  <si>
    <t xml:space="preserve">1206N100J102CT</t>
  </si>
  <si>
    <t xml:space="preserve">Walsin</t>
  </si>
  <si>
    <t xml:space="preserve">C77525</t>
  </si>
  <si>
    <t xml:space="preserve">8,540</t>
  </si>
  <si>
    <t xml:space="preserve">Not needed</t>
  </si>
  <si>
    <t xml:space="preserve">https://www.lcsc.com/product-detail/C77525.html</t>
  </si>
  <si>
    <t xml:space="preserve">1206N391J102CT</t>
  </si>
  <si>
    <t xml:space="preserve">C77529</t>
  </si>
  <si>
    <t xml:space="preserve">0</t>
  </si>
  <si>
    <t xml:space="preserve">Out of stock</t>
  </si>
  <si>
    <t xml:space="preserve">https://www.lcsc.com/product-detail/C77529.html</t>
  </si>
  <si>
    <t xml:space="preserve">1206N681J102CT</t>
  </si>
  <si>
    <t xml:space="preserve">C384716</t>
  </si>
  <si>
    <t xml:space="preserve">https://www.lcsc.com/product-detail/C384716.html</t>
  </si>
  <si>
    <t xml:space="preserve">Design notes and open items</t>
  </si>
  <si>
    <t xml:space="preserve">Provided by you</t>
  </si>
  <si>
    <t xml:space="preserve">Power 50 W, bands 40 m - 10 m, T68 toroids (T68-2 at 5.7 nH/turn^2, 20 AWG magnet wire), and a Class E amplifier planned later.</t>
  </si>
  <si>
    <t xml:space="preserve">Original five-filter table (see 'Your Table'). Capacitors must be C0G/NP0, 1206, 1-3 kV, from LCSC, with an EasyEDA footprint.</t>
  </si>
  <si>
    <t xml:space="preserve">Grouping logic</t>
  </si>
  <si>
    <t xml:space="preserve">Filters 1-3 cover 40, 30 and 20 m individually. 17 + 15 m share filter 4 and 12 + 10 m share filter 5 to save space.</t>
  </si>
  <si>
    <t xml:space="preserve">Your original 25.1 MHz and 37.6 MHz cutoffs gave only about 32 dB and 25 dB of 2nd-harmonic rejection at the lowest band in each group. Moving them to 22.7 and 31.5 MHz brings both to about 40 dB or better (see Filters, columns O-Q).</t>
  </si>
  <si>
    <t xml:space="preserve">Capacitor sourcing</t>
  </si>
  <si>
    <t xml:space="preserve">Parts and stock were checked on LCSC product pages on 2026-10-11. The Yageo CC1206JKNPOCBN series (1 kV NP0, 1206) has the best stock; 180 pF comes from the 2 kV Yageo DBN part.</t>
  </si>
  <si>
    <t xml:space="preserve">820 pF (C527262) is excluded because LCSC's EasyEDA library shows 'Not drawn yet'; 470 pF (C107177) is excluded for low stock (240).</t>
  </si>
  <si>
    <t xml:space="preserve">The LCSC category page could not be filtered through my tools, so this list is built from individual part pages and is not a complete survey of what LCSC stocks.</t>
  </si>
  <si>
    <t xml:space="preserve">Class E considerations</t>
  </si>
  <si>
    <t xml:space="preserve">A 0.1 dB Chebyshev has in-band input SWR up to about 1.36:1 at the ripple peaks. If the Class E stage is sensitive, consider 0.01-0.05 dB ripple (needs different g-values).</t>
  </si>
  <si>
    <t xml:space="preserve">Out-of-band the filter reflects harmonics back to the amplifier. Tune the Class E output network with the filter attached, using a dummy load and a NanoVNA.</t>
  </si>
  <si>
    <t xml:space="preserve">Correction to earlier numbers</t>
  </si>
  <si>
    <t xml:space="preserve">Matched peak line voltage at 100 W is about 100 V (not 141 V). At 50 W it is about 71 V (Filters!B17).</t>
  </si>
  <si>
    <t xml:space="preserve">Turns for filter 5 are shown for T68-6 (about 9 turns for each inductor). My earlier chat reply listed 8 / 8-9 / 8, which was the T68-2 count.</t>
  </si>
  <si>
    <t xml:space="preserve">Still to do</t>
  </si>
  <si>
    <t xml:space="preserve">Recheck stock and footprints on LCSC/EasyEDA right before ordering.</t>
  </si>
  <si>
    <t xml:space="preserve">Decide whether the 8.43 MHz row is meant to be a ~7.7 MHz design.</t>
  </si>
  <si>
    <t xml:space="preserve">Measure each wound inductor and each finished filter on a NanoVNA before installing; trim by squeezing or spreading inductor turns.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</si>
</sst>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000"/>
    <numFmt numFmtId="168" formatCode="0.0"/>
    <numFmt numFmtId="169" formatCode="0.000"/>
    <numFmt numFmtId="170" formatCode="0.0%"/>
    <numFmt numFmtId="171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107174.html" TargetMode="External"/><Relationship Id="rId2" Type="http://schemas.openxmlformats.org/officeDocument/2006/relationships/hyperlink" Target="https://www.lcsc.com/product-detail/C541492.html" TargetMode="External"/><Relationship Id="rId3" Type="http://schemas.openxmlformats.org/officeDocument/2006/relationships/hyperlink" Target="https://www.lcsc.com/product-detail/C107176.html" TargetMode="External"/><Relationship Id="rId4" Type="http://schemas.openxmlformats.org/officeDocument/2006/relationships/hyperlink" Target="https://www.lcsc.com/product-detail/C107178.html" TargetMode="External"/><Relationship Id="rId5" Type="http://schemas.openxmlformats.org/officeDocument/2006/relationships/hyperlink" Target="https://www.lcsc.com/product-detail/C107173.html" TargetMode="External"/><Relationship Id="rId6" Type="http://schemas.openxmlformats.org/officeDocument/2006/relationships/hyperlink" Target="https://www.lcsc.com/product-detail/C527266.html" TargetMode="External"/><Relationship Id="rId7" Type="http://schemas.openxmlformats.org/officeDocument/2006/relationships/hyperlink" Target="https://www.lcsc.com/product-detail/C107175.html" TargetMode="External"/><Relationship Id="rId8" Type="http://schemas.openxmlformats.org/officeDocument/2006/relationships/hyperlink" Target="https://www.lcsc.com/product-detail/C326659.html" TargetMode="External"/><Relationship Id="rId9" Type="http://schemas.openxmlformats.org/officeDocument/2006/relationships/hyperlink" Target="https://www.lcsc.com/product-detail/C107177.html" TargetMode="External"/><Relationship Id="rId10" Type="http://schemas.openxmlformats.org/officeDocument/2006/relationships/hyperlink" Target="https://www.lcsc.com/product-detail/C527262.html" TargetMode="External"/><Relationship Id="rId11" Type="http://schemas.openxmlformats.org/officeDocument/2006/relationships/hyperlink" Target="https://www.lcsc.com/product-detail/C77525.html" TargetMode="External"/><Relationship Id="rId12" Type="http://schemas.openxmlformats.org/officeDocument/2006/relationships/hyperlink" Target="https://www.lcsc.com/product-detail/C77529.html" TargetMode="External"/><Relationship Id="rId13" Type="http://schemas.openxmlformats.org/officeDocument/2006/relationships/hyperlink" Target="https://www.lcsc.com/product-detail/C384716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10" min="7" style="1" width="12"/>
    <col collapsed="false" customWidth="true" hidden="false" outlineLevel="0" max="13" min="11" style="1" width="10"/>
    <col collapsed="false" customWidth="true" hidden="false" outlineLevel="0" max="14" min="14" style="1" width="12"/>
    <col collapsed="false" customWidth="true" hidden="false" outlineLevel="0" max="16" min="15" style="1" width="18"/>
    <col collapsed="false" customWidth="true" hidden="false" outlineLevel="0" max="17" min="17" style="1" width="14"/>
    <col collapsed="false" customWidth="true" hidden="false" outlineLevel="0" max="18" min="18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50</v>
      </c>
      <c r="C5" s="3" t="s">
        <v>6</v>
      </c>
    </row>
    <row r="6" customFormat="false" ht="15" hidden="false" customHeight="true" outlineLevel="0" collapsed="false">
      <c r="A6" s="5" t="s">
        <v>7</v>
      </c>
      <c r="B6" s="7" t="n">
        <v>0.1</v>
      </c>
      <c r="C6" s="3" t="s">
        <v>8</v>
      </c>
    </row>
    <row r="7" customFormat="false" ht="15" hidden="false" customHeight="true" outlineLevel="0" collapsed="false">
      <c r="A7" s="5" t="s">
        <v>9</v>
      </c>
      <c r="B7" s="8" t="n">
        <f aca="false">10^(B6/10)-1</f>
        <v>0.0232929922807541</v>
      </c>
      <c r="C7" s="3" t="s">
        <v>10</v>
      </c>
    </row>
    <row r="8" customFormat="false" ht="15" hidden="false" customHeight="true" outlineLevel="0" collapsed="false">
      <c r="A8" s="5" t="s">
        <v>11</v>
      </c>
      <c r="B8" s="9" t="n">
        <v>1.1812</v>
      </c>
      <c r="C8" s="3" t="s">
        <v>12</v>
      </c>
    </row>
    <row r="9" customFormat="false" ht="15" hidden="false" customHeight="true" outlineLevel="0" collapsed="false">
      <c r="A9" s="5" t="s">
        <v>13</v>
      </c>
      <c r="B9" s="9" t="n">
        <v>1.4228</v>
      </c>
      <c r="C9" s="3" t="s">
        <v>14</v>
      </c>
    </row>
    <row r="10" customFormat="false" ht="15" hidden="false" customHeight="true" outlineLevel="0" collapsed="false">
      <c r="A10" s="5" t="s">
        <v>15</v>
      </c>
      <c r="B10" s="9" t="n">
        <v>2.0967</v>
      </c>
      <c r="C10" s="3" t="s">
        <v>14</v>
      </c>
    </row>
    <row r="11" customFormat="false" ht="15" hidden="false" customHeight="true" outlineLevel="0" collapsed="false">
      <c r="A11" s="5" t="s">
        <v>16</v>
      </c>
      <c r="B11" s="9" t="n">
        <v>1.5734</v>
      </c>
      <c r="C11" s="3" t="s">
        <v>14</v>
      </c>
    </row>
    <row r="12" customFormat="false" ht="15" hidden="false" customHeight="true" outlineLevel="0" collapsed="false">
      <c r="A12" s="5" t="s">
        <v>17</v>
      </c>
      <c r="B12" s="10" t="n">
        <v>5.7</v>
      </c>
      <c r="C12" s="3" t="s">
        <v>18</v>
      </c>
    </row>
    <row r="13" customFormat="false" ht="15" hidden="false" customHeight="true" outlineLevel="0" collapsed="false">
      <c r="A13" s="5" t="s">
        <v>19</v>
      </c>
      <c r="B13" s="10" t="n">
        <v>4.7</v>
      </c>
      <c r="C13" s="3" t="s">
        <v>20</v>
      </c>
    </row>
    <row r="14" customFormat="false" ht="15" hidden="false" customHeight="true" outlineLevel="0" collapsed="false">
      <c r="A14" s="5" t="s">
        <v>21</v>
      </c>
      <c r="B14" s="6" t="n">
        <v>50</v>
      </c>
      <c r="C14" s="3" t="s">
        <v>22</v>
      </c>
    </row>
    <row r="15" customFormat="false" ht="15" hidden="false" customHeight="true" outlineLevel="0" collapsed="false">
      <c r="A15" s="5" t="s">
        <v>23</v>
      </c>
      <c r="B15" s="10" t="n">
        <v>3</v>
      </c>
      <c r="C15" s="3" t="s">
        <v>24</v>
      </c>
    </row>
    <row r="16" customFormat="false" ht="15" hidden="false" customHeight="true" outlineLevel="0" collapsed="false">
      <c r="A16" s="5" t="s">
        <v>25</v>
      </c>
      <c r="B16" s="11" t="n">
        <f aca="false">SQRT(B14*B5)</f>
        <v>50</v>
      </c>
    </row>
    <row r="17" customFormat="false" ht="15" hidden="false" customHeight="true" outlineLevel="0" collapsed="false">
      <c r="A17" s="5" t="s">
        <v>26</v>
      </c>
      <c r="B17" s="11" t="n">
        <f aca="false">SQRT(2*B14*B5)</f>
        <v>70.7106781186548</v>
      </c>
    </row>
    <row r="18" customFormat="false" ht="15" hidden="false" customHeight="true" outlineLevel="0" collapsed="false">
      <c r="A18" s="5" t="s">
        <v>27</v>
      </c>
      <c r="B18" s="12" t="n">
        <f aca="false">(B15-1)/(B15+1)</f>
        <v>0.5</v>
      </c>
    </row>
    <row r="19" customFormat="false" ht="15" hidden="false" customHeight="true" outlineLevel="0" collapsed="false">
      <c r="A19" s="5" t="s">
        <v>28</v>
      </c>
      <c r="B19" s="11" t="n">
        <f aca="false">B17*(1+B18)</f>
        <v>106.066017177982</v>
      </c>
      <c r="C19" s="3" t="s">
        <v>29</v>
      </c>
    </row>
    <row r="22" customFormat="false" ht="57.75" hidden="false" customHeight="true" outlineLevel="0" collapsed="false">
      <c r="A22" s="13" t="s">
        <v>30</v>
      </c>
      <c r="B22" s="13" t="s">
        <v>31</v>
      </c>
      <c r="C22" s="13" t="s">
        <v>32</v>
      </c>
      <c r="D22" s="13" t="s">
        <v>33</v>
      </c>
      <c r="E22" s="13" t="s">
        <v>34</v>
      </c>
      <c r="F22" s="13" t="s">
        <v>35</v>
      </c>
      <c r="G22" s="13" t="s">
        <v>36</v>
      </c>
      <c r="H22" s="13" t="s">
        <v>37</v>
      </c>
      <c r="I22" s="13" t="s">
        <v>38</v>
      </c>
      <c r="J22" s="13" t="s">
        <v>39</v>
      </c>
      <c r="K22" s="13" t="s">
        <v>40</v>
      </c>
      <c r="L22" s="13" t="s">
        <v>41</v>
      </c>
      <c r="M22" s="13" t="s">
        <v>42</v>
      </c>
      <c r="N22" s="13" t="s">
        <v>43</v>
      </c>
      <c r="O22" s="13" t="s">
        <v>44</v>
      </c>
      <c r="P22" s="13" t="s">
        <v>45</v>
      </c>
      <c r="Q22" s="13" t="s">
        <v>46</v>
      </c>
      <c r="R22" s="13" t="s">
        <v>47</v>
      </c>
    </row>
    <row r="23" customFormat="false" ht="15" hidden="false" customHeight="true" outlineLevel="0" collapsed="false">
      <c r="A23" s="14" t="s">
        <v>48</v>
      </c>
      <c r="B23" s="15" t="s">
        <v>49</v>
      </c>
      <c r="C23" s="16" t="n">
        <v>7</v>
      </c>
      <c r="D23" s="16" t="n">
        <v>7.3</v>
      </c>
      <c r="E23" s="17" t="n">
        <v>8.43</v>
      </c>
      <c r="F23" s="18" t="s">
        <v>50</v>
      </c>
      <c r="G23" s="19" t="n">
        <f aca="false">IF(F23="T68-2",$B$12,IF(F23="T68-6",$B$13,NA()))</f>
        <v>5.7</v>
      </c>
      <c r="H23" s="19" t="n">
        <f aca="false">$B$8/(2*PI()*E23*1000000*$B$5)*1000000000000</f>
        <v>446.011432455864</v>
      </c>
      <c r="I23" s="20" t="n">
        <f aca="false">$B$9*$B$5/(2*PI()*E23*1000000)*1000000</f>
        <v>1.34309402746826</v>
      </c>
      <c r="J23" s="19" t="n">
        <f aca="false">$B$10/(2*PI()*E23*1000000*$B$5)*1000000000000</f>
        <v>791.696724035058</v>
      </c>
      <c r="K23" s="20" t="n">
        <f aca="false">$B$11*$B$5/(2*PI()*E23*1000000)*1000000</f>
        <v>1.48525733962508</v>
      </c>
      <c r="L23" s="19" t="n">
        <f aca="false">SQRT(I23*1000/G23)</f>
        <v>15.3502615982524</v>
      </c>
      <c r="M23" s="19" t="n">
        <f aca="false">SQRT(K23*1000/G23)</f>
        <v>16.1422260884959</v>
      </c>
      <c r="N23" s="21" t="n">
        <f aca="false">E23/D23</f>
        <v>1.15479452054795</v>
      </c>
      <c r="O23" s="19" t="n">
        <f aca="false">IF(2*C23/E23&lt;=1,0,10*LOG10(1+$B$7*COSH(7*ACOSH(2*C23/E23))^2))</f>
        <v>44.1775731105937</v>
      </c>
      <c r="P23" s="19" t="n">
        <f aca="false">IF(3*C23/E23&lt;=1,0,10*LOG10(1+$B$7*COSH(7*ACOSH(3*C23/E23))^2))</f>
        <v>72.6783844216998</v>
      </c>
      <c r="Q23" s="14" t="str">
        <f aca="false">IF(O23&gt;=40,"OK","LOW")</f>
        <v>OK</v>
      </c>
      <c r="R23" s="21" t="n">
        <f aca="false">$B$16*2*PI()*D23*1000000*J23*0.000000000001</f>
        <v>1.81564768683274</v>
      </c>
    </row>
    <row r="24" customFormat="false" ht="15" hidden="false" customHeight="true" outlineLevel="0" collapsed="false">
      <c r="A24" s="14" t="s">
        <v>51</v>
      </c>
      <c r="B24" s="15" t="s">
        <v>52</v>
      </c>
      <c r="C24" s="16" t="n">
        <v>10.1</v>
      </c>
      <c r="D24" s="16" t="n">
        <v>10.15</v>
      </c>
      <c r="E24" s="17" t="n">
        <v>11.4</v>
      </c>
      <c r="F24" s="18" t="s">
        <v>50</v>
      </c>
      <c r="G24" s="19" t="n">
        <f aca="false">IF(F24="T68-2",$B$12,IF(F24="T68-6",$B$13,NA()))</f>
        <v>5.7</v>
      </c>
      <c r="H24" s="19" t="n">
        <f aca="false">$B$8/(2*PI()*E24*1000000*$B$5)*1000000000000</f>
        <v>329.813717158152</v>
      </c>
      <c r="I24" s="20" t="n">
        <f aca="false">$B$9*$B$5/(2*PI()*E24*1000000)*1000000</f>
        <v>0.993182688733108</v>
      </c>
      <c r="J24" s="19" t="n">
        <f aca="false">$B$10/(2*PI()*E24*1000000*$B$5)*1000000000000</f>
        <v>585.438893299609</v>
      </c>
      <c r="K24" s="20" t="n">
        <f aca="false">$B$11*$B$5/(2*PI()*E24*1000000)*1000000</f>
        <v>1.09830871693328</v>
      </c>
      <c r="L24" s="19" t="n">
        <f aca="false">SQRT(I24*1000/G24)</f>
        <v>13.2000976121664</v>
      </c>
      <c r="M24" s="19" t="n">
        <f aca="false">SQRT(K24*1000/G24)</f>
        <v>13.8811289098854</v>
      </c>
      <c r="N24" s="21" t="n">
        <f aca="false">E24/D24</f>
        <v>1.12315270935961</v>
      </c>
      <c r="O24" s="19" t="n">
        <f aca="false">IF(2*C24/E24&lt;=1,0,10*LOG10(1+$B$7*COSH(7*ACOSH(2*C24/E24))^2))</f>
        <v>49.0287178106567</v>
      </c>
      <c r="P24" s="19" t="n">
        <f aca="false">IF(3*C24/E24&lt;=1,0,10*LOG10(1+$B$7*COSH(7*ACOSH(3*C24/E24))^2))</f>
        <v>76.9553360491538</v>
      </c>
      <c r="Q24" s="14" t="str">
        <f aca="false">IF(O24&gt;=40,"OK","LOW")</f>
        <v>OK</v>
      </c>
      <c r="R24" s="21" t="n">
        <f aca="false">$B$16*2*PI()*D24*1000000*J24*0.000000000001</f>
        <v>1.86679868421053</v>
      </c>
    </row>
    <row r="25" customFormat="false" ht="15" hidden="false" customHeight="true" outlineLevel="0" collapsed="false">
      <c r="A25" s="14" t="s">
        <v>53</v>
      </c>
      <c r="B25" s="15" t="s">
        <v>54</v>
      </c>
      <c r="C25" s="16" t="n">
        <v>14</v>
      </c>
      <c r="D25" s="16" t="n">
        <v>14.35</v>
      </c>
      <c r="E25" s="17" t="n">
        <v>17.1</v>
      </c>
      <c r="F25" s="18" t="s">
        <v>50</v>
      </c>
      <c r="G25" s="19" t="n">
        <f aca="false">IF(F25="T68-2",$B$12,IF(F25="T68-6",$B$13,NA()))</f>
        <v>5.7</v>
      </c>
      <c r="H25" s="19" t="n">
        <f aca="false">$B$8/(2*PI()*E25*1000000*$B$5)*1000000000000</f>
        <v>219.875811438768</v>
      </c>
      <c r="I25" s="20" t="n">
        <f aca="false">$B$9*$B$5/(2*PI()*E25*1000000)*1000000</f>
        <v>0.662121792488739</v>
      </c>
      <c r="J25" s="19" t="n">
        <f aca="false">$B$10/(2*PI()*E25*1000000*$B$5)*1000000000000</f>
        <v>390.292595533072</v>
      </c>
      <c r="K25" s="20" t="n">
        <f aca="false">$B$11*$B$5/(2*PI()*E25*1000000)*1000000</f>
        <v>0.732205811288854</v>
      </c>
      <c r="L25" s="19" t="n">
        <f aca="false">SQRT(I25*1000/G25)</f>
        <v>10.7778345682461</v>
      </c>
      <c r="M25" s="19" t="n">
        <f aca="false">SQRT(K25*1000/G25)</f>
        <v>11.3338942943384</v>
      </c>
      <c r="N25" s="21" t="n">
        <f aca="false">E25/D25</f>
        <v>1.19163763066202</v>
      </c>
      <c r="O25" s="19" t="n">
        <f aca="false">IF(2*C25/E25&lt;=1,0,10*LOG10(1+$B$7*COSH(7*ACOSH(2*C25/E25))^2))</f>
        <v>43.0968034518593</v>
      </c>
      <c r="P25" s="19" t="n">
        <f aca="false">IF(3*C25/E25&lt;=1,0,10*LOG10(1+$B$7*COSH(7*ACOSH(3*C25/E25))^2))</f>
        <v>71.7387778016771</v>
      </c>
      <c r="Q25" s="14" t="str">
        <f aca="false">IF(O25&gt;=40,"OK","LOW")</f>
        <v>OK</v>
      </c>
      <c r="R25" s="21" t="n">
        <f aca="false">$B$16*2*PI()*D25*1000000*J25*0.000000000001</f>
        <v>1.75951140350877</v>
      </c>
    </row>
    <row r="26" customFormat="false" ht="15" hidden="false" customHeight="true" outlineLevel="0" collapsed="false">
      <c r="A26" s="14" t="s">
        <v>55</v>
      </c>
      <c r="B26" s="15" t="s">
        <v>56</v>
      </c>
      <c r="C26" s="16" t="n">
        <v>18.068</v>
      </c>
      <c r="D26" s="16" t="n">
        <v>21.45</v>
      </c>
      <c r="E26" s="17" t="n">
        <v>22.7</v>
      </c>
      <c r="F26" s="18" t="s">
        <v>50</v>
      </c>
      <c r="G26" s="19" t="n">
        <f aca="false">IF(F26="T68-2",$B$12,IF(F26="T68-6",$B$13,NA()))</f>
        <v>5.7</v>
      </c>
      <c r="H26" s="19" t="n">
        <f aca="false">$B$8/(2*PI()*E26*1000000*$B$5)*1000000000000</f>
        <v>165.633320511143</v>
      </c>
      <c r="I26" s="20" t="n">
        <f aca="false">$B$9*$B$5/(2*PI()*E26*1000000)*1000000</f>
        <v>0.498778971434248</v>
      </c>
      <c r="J26" s="19" t="n">
        <f aca="false">$B$10/(2*PI()*E26*1000000*$B$5)*1000000000000</f>
        <v>294.008959630641</v>
      </c>
      <c r="K26" s="20" t="n">
        <f aca="false">$B$11*$B$5/(2*PI()*E26*1000000)*1000000</f>
        <v>0.551573540662529</v>
      </c>
      <c r="L26" s="19" t="n">
        <f aca="false">SQRT(I26*1000/G26)</f>
        <v>9.35441514514739</v>
      </c>
      <c r="M26" s="19" t="n">
        <f aca="false">SQRT(K26*1000/G26)</f>
        <v>9.83703653726728</v>
      </c>
      <c r="N26" s="21" t="n">
        <f aca="false">E26/D26</f>
        <v>1.05827505827506</v>
      </c>
      <c r="O26" s="19" t="n">
        <f aca="false">IF(2*C26/E26&lt;=1,0,10*LOG10(1+$B$7*COSH(7*ACOSH(2*C26/E26))^2))</f>
        <v>40.9127058782802</v>
      </c>
      <c r="P26" s="19" t="n">
        <f aca="false">IF(3*C26/E26&lt;=1,0,10*LOG10(1+$B$7*COSH(7*ACOSH(3*C26/E26))^2))</f>
        <v>69.8560659816958</v>
      </c>
      <c r="Q26" s="14" t="str">
        <f aca="false">IF(O26&gt;=40,"OK","LOW")</f>
        <v>OK</v>
      </c>
      <c r="R26" s="21" t="n">
        <f aca="false">$B$16*2*PI()*D26*1000000*J26*0.000000000001</f>
        <v>1.98124295154185</v>
      </c>
    </row>
    <row r="27" customFormat="false" ht="15" hidden="false" customHeight="true" outlineLevel="0" collapsed="false">
      <c r="A27" s="14" t="s">
        <v>57</v>
      </c>
      <c r="B27" s="15" t="s">
        <v>58</v>
      </c>
      <c r="C27" s="16" t="n">
        <v>24.89</v>
      </c>
      <c r="D27" s="16" t="n">
        <v>29.7</v>
      </c>
      <c r="E27" s="17" t="n">
        <v>31.5</v>
      </c>
      <c r="F27" s="18" t="s">
        <v>59</v>
      </c>
      <c r="G27" s="19" t="n">
        <f aca="false">IF(F27="T68-2",$B$12,IF(F27="T68-6",$B$13,NA()))</f>
        <v>4.7</v>
      </c>
      <c r="H27" s="19" t="n">
        <f aca="false">$B$8/(2*PI()*E27*1000000*$B$5)*1000000000000</f>
        <v>119.361154781046</v>
      </c>
      <c r="I27" s="20" t="n">
        <f aca="false">$B$9*$B$5/(2*PI()*E27*1000000)*1000000</f>
        <v>0.359437544493887</v>
      </c>
      <c r="J27" s="19" t="n">
        <f aca="false">$B$10/(2*PI()*E27*1000000*$B$5)*1000000000000</f>
        <v>211.873123289382</v>
      </c>
      <c r="K27" s="20" t="n">
        <f aca="false">$B$11*$B$5/(2*PI()*E27*1000000)*1000000</f>
        <v>0.397483154699664</v>
      </c>
      <c r="L27" s="19" t="n">
        <f aca="false">SQRT(I27*1000/G27)</f>
        <v>8.7450599367055</v>
      </c>
      <c r="M27" s="19" t="n">
        <f aca="false">SQRT(K27*1000/G27)</f>
        <v>9.19624292734005</v>
      </c>
      <c r="N27" s="21" t="n">
        <f aca="false">E27/D27</f>
        <v>1.06060606060606</v>
      </c>
      <c r="O27" s="19" t="n">
        <f aca="false">IF(2*C27/E27&lt;=1,0,10*LOG10(1+$B$7*COSH(7*ACOSH(2*C27/E27))^2))</f>
        <v>40.3410186605669</v>
      </c>
      <c r="P27" s="19" t="n">
        <f aca="false">IF(3*C27/E27&lt;=1,0,10*LOG10(1+$B$7*COSH(7*ACOSH(3*C27/E27))^2))</f>
        <v>69.3669811135205</v>
      </c>
      <c r="Q27" s="14" t="str">
        <f aca="false">IF(O27&gt;=40,"OK","LOW")</f>
        <v>OK</v>
      </c>
      <c r="R27" s="21" t="n">
        <f aca="false">$B$16*2*PI()*D27*1000000*J27*0.000000000001</f>
        <v>1.97688857142857</v>
      </c>
    </row>
    <row r="29" customFormat="false" ht="15" hidden="false" customHeight="true" outlineLevel="0" collapsed="false">
      <c r="A29" s="22" t="s">
        <v>60</v>
      </c>
    </row>
    <row r="30" customFormat="false" ht="15" hidden="false" customHeight="true" outlineLevel="0" collapsed="false">
      <c r="A30" s="3" t="s">
        <v>61</v>
      </c>
    </row>
    <row r="31" customFormat="false" ht="15" hidden="false" customHeight="true" outlineLevel="0" collapsed="false">
      <c r="A31" s="3" t="s">
        <v>62</v>
      </c>
    </row>
    <row r="32" customFormat="false" ht="15" hidden="false" customHeight="true" outlineLevel="0" collapsed="false">
      <c r="A32" s="3" t="s">
        <v>63</v>
      </c>
    </row>
    <row r="33" customFormat="false" ht="15" hidden="false" customHeight="true" outlineLevel="0" collapsed="false">
      <c r="A33" s="3" t="s">
        <v>64</v>
      </c>
    </row>
    <row r="34" customFormat="false" ht="15" hidden="false" customHeight="true" outlineLevel="0" collapsed="false">
      <c r="A34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17.25" hidden="false" customHeight="true" outlineLevel="0" collapsed="false">
      <c r="A1" s="2" t="s">
        <v>66</v>
      </c>
    </row>
    <row r="2" customFormat="false" ht="15" hidden="false" customHeight="true" outlineLevel="0" collapsed="false">
      <c r="A2" s="3" t="s">
        <v>67</v>
      </c>
    </row>
    <row r="4" customFormat="false" ht="42" hidden="false" customHeight="true" outlineLevel="0" collapsed="false">
      <c r="A4" s="13" t="s">
        <v>68</v>
      </c>
      <c r="B4" s="13" t="s">
        <v>69</v>
      </c>
      <c r="C4" s="13" t="s">
        <v>70</v>
      </c>
      <c r="D4" s="13" t="s">
        <v>71</v>
      </c>
      <c r="E4" s="13" t="s">
        <v>40</v>
      </c>
      <c r="F4" s="13" t="s">
        <v>72</v>
      </c>
      <c r="G4" s="13" t="s">
        <v>73</v>
      </c>
      <c r="H4" s="13" t="s">
        <v>74</v>
      </c>
      <c r="I4" s="13" t="s">
        <v>75</v>
      </c>
      <c r="J4" s="13" t="s">
        <v>76</v>
      </c>
      <c r="K4" s="13" t="s">
        <v>77</v>
      </c>
      <c r="L4" s="13" t="s">
        <v>78</v>
      </c>
    </row>
    <row r="5" customFormat="false" ht="15" hidden="false" customHeight="true" outlineLevel="0" collapsed="false">
      <c r="A5" s="23" t="n">
        <v>8.43</v>
      </c>
      <c r="B5" s="24" t="n">
        <v>470</v>
      </c>
      <c r="C5" s="23" t="n">
        <v>1.46</v>
      </c>
      <c r="D5" s="24" t="n">
        <v>820</v>
      </c>
      <c r="E5" s="23" t="n">
        <v>1.65</v>
      </c>
      <c r="F5" s="24" t="n">
        <v>820</v>
      </c>
      <c r="G5" s="23" t="n">
        <v>1.46</v>
      </c>
      <c r="H5" s="24" t="n">
        <v>470</v>
      </c>
      <c r="I5" s="25" t="n">
        <f aca="false">Filters!$B$8/(2*PI()*Filters!$B$5*B5*0.000000000001)/1000000</f>
        <v>7.99973696936795</v>
      </c>
      <c r="J5" s="25" t="n">
        <f aca="false">Filters!$B$9*Filters!$B$5/(2*PI()*C5*0.000001)/1000000</f>
        <v>7.75498811750509</v>
      </c>
      <c r="K5" s="25" t="n">
        <f aca="false">Filters!$B$10/(2*PI()*Filters!$B$5*D5*0.000000000001)/1000000</f>
        <v>8.13902851660432</v>
      </c>
      <c r="L5" s="25" t="n">
        <f aca="false">Filters!$B$11*Filters!$B$5/(2*PI()*E5*0.000001)/1000000</f>
        <v>7.58831477153903</v>
      </c>
    </row>
    <row r="6" customFormat="false" ht="15" hidden="false" customHeight="true" outlineLevel="0" collapsed="false">
      <c r="A6" s="23" t="n">
        <v>11.4</v>
      </c>
      <c r="B6" s="24" t="n">
        <v>330</v>
      </c>
      <c r="C6" s="23" t="n">
        <v>1.01</v>
      </c>
      <c r="D6" s="24" t="n">
        <v>560</v>
      </c>
      <c r="E6" s="23" t="n">
        <v>1.11</v>
      </c>
      <c r="F6" s="24" t="n">
        <v>560</v>
      </c>
      <c r="G6" s="23" t="n">
        <v>1.01</v>
      </c>
      <c r="H6" s="24" t="n">
        <v>330</v>
      </c>
      <c r="I6" s="25" t="n">
        <f aca="false">Filters!$B$8/(2*PI()*Filters!$B$5*B6*0.000000000001)/1000000</f>
        <v>11.3935647745544</v>
      </c>
      <c r="J6" s="25" t="n">
        <f aca="false">Filters!$B$9*Filters!$B$5/(2*PI()*C6*0.000001)/1000000</f>
        <v>11.2101808431262</v>
      </c>
      <c r="K6" s="25" t="n">
        <f aca="false">Filters!$B$10/(2*PI()*Filters!$B$5*D6*0.000000000001)/1000000</f>
        <v>11.9178631850277</v>
      </c>
      <c r="L6" s="25" t="n">
        <f aca="false">Filters!$B$11*Filters!$B$5/(2*PI()*E6*0.000001)/1000000</f>
        <v>11.2799273630986</v>
      </c>
    </row>
    <row r="7" customFormat="false" ht="15" hidden="false" customHeight="true" outlineLevel="0" collapsed="false">
      <c r="A7" s="23" t="n">
        <v>17.1</v>
      </c>
      <c r="B7" s="24" t="n">
        <v>220</v>
      </c>
      <c r="C7" s="23" t="n">
        <v>0.67</v>
      </c>
      <c r="D7" s="24" t="n">
        <v>390</v>
      </c>
      <c r="E7" s="23" t="n">
        <v>0.74</v>
      </c>
      <c r="F7" s="24" t="n">
        <v>390</v>
      </c>
      <c r="G7" s="23" t="n">
        <v>0.67</v>
      </c>
      <c r="H7" s="24" t="n">
        <v>220</v>
      </c>
      <c r="I7" s="25" t="n">
        <f aca="false">Filters!$B$8/(2*PI()*Filters!$B$5*B7*0.000000000001)/1000000</f>
        <v>17.0903471618315</v>
      </c>
      <c r="J7" s="25" t="n">
        <f aca="false">Filters!$B$9*Filters!$B$5/(2*PI()*C7*0.000001)/1000000</f>
        <v>16.8989293306827</v>
      </c>
      <c r="K7" s="25" t="n">
        <f aca="false">Filters!$B$10/(2*PI()*Filters!$B$5*D7*0.000000000001)/1000000</f>
        <v>17.1128291887578</v>
      </c>
      <c r="L7" s="25" t="n">
        <f aca="false">Filters!$B$11*Filters!$B$5/(2*PI()*E7*0.000001)/1000000</f>
        <v>16.9198910446478</v>
      </c>
    </row>
    <row r="8" customFormat="false" ht="15" hidden="false" customHeight="true" outlineLevel="0" collapsed="false">
      <c r="A8" s="23" t="n">
        <v>25.1</v>
      </c>
      <c r="B8" s="24" t="n">
        <v>150</v>
      </c>
      <c r="C8" s="23" t="n">
        <v>0.46</v>
      </c>
      <c r="D8" s="24" t="n">
        <v>270</v>
      </c>
      <c r="E8" s="23" t="n">
        <v>0.5</v>
      </c>
      <c r="F8" s="24" t="n">
        <v>270</v>
      </c>
      <c r="G8" s="23" t="n">
        <v>0.46</v>
      </c>
      <c r="H8" s="24" t="n">
        <v>150</v>
      </c>
      <c r="I8" s="25" t="n">
        <f aca="false">Filters!$B$8/(2*PI()*Filters!$B$5*B8*0.000000000001)/1000000</f>
        <v>25.0658425040196</v>
      </c>
      <c r="J8" s="25" t="n">
        <f aca="false">Filters!$B$9*Filters!$B$5/(2*PI()*C8*0.000001)/1000000</f>
        <v>24.6136579381683</v>
      </c>
      <c r="K8" s="25" t="n">
        <f aca="false">Filters!$B$10/(2*PI()*Filters!$B$5*D8*0.000000000001)/1000000</f>
        <v>24.7185310504279</v>
      </c>
      <c r="L8" s="25" t="n">
        <f aca="false">Filters!$B$11*Filters!$B$5/(2*PI()*E8*0.000001)/1000000</f>
        <v>25.0414387460788</v>
      </c>
    </row>
    <row r="9" customFormat="false" ht="15" hidden="false" customHeight="true" outlineLevel="0" collapsed="false">
      <c r="A9" s="23" t="n">
        <v>37.6</v>
      </c>
      <c r="B9" s="24" t="n">
        <v>100</v>
      </c>
      <c r="C9" s="23" t="n">
        <v>0.3</v>
      </c>
      <c r="D9" s="24" t="n">
        <v>180</v>
      </c>
      <c r="E9" s="23" t="n">
        <v>0.34</v>
      </c>
      <c r="F9" s="24" t="n">
        <v>180</v>
      </c>
      <c r="G9" s="23" t="n">
        <v>0.3</v>
      </c>
      <c r="H9" s="24" t="n">
        <v>100</v>
      </c>
      <c r="I9" s="25" t="n">
        <f aca="false">Filters!$B$8/(2*PI()*Filters!$B$5*B9*0.000000000001)/1000000</f>
        <v>37.5987637560294</v>
      </c>
      <c r="J9" s="25" t="n">
        <f aca="false">Filters!$B$9*Filters!$B$5/(2*PI()*C9*0.000001)/1000000</f>
        <v>37.7409421718581</v>
      </c>
      <c r="K9" s="25" t="n">
        <f aca="false">Filters!$B$10/(2*PI()*Filters!$B$5*D9*0.000000000001)/1000000</f>
        <v>37.0777965756419</v>
      </c>
      <c r="L9" s="25" t="n">
        <f aca="false">Filters!$B$11*Filters!$B$5/(2*PI()*E9*0.000001)/1000000</f>
        <v>36.8256452148218</v>
      </c>
    </row>
    <row r="11" customFormat="false" ht="15" hidden="false" customHeight="true" outlineLevel="0" collapsed="false">
      <c r="A11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26" t="s">
        <v>80</v>
      </c>
    </row>
    <row r="2" customFormat="false" ht="15" hidden="false" customHeight="false" outlineLevel="0" collapsed="false">
      <c r="A2" s="27" t="s">
        <v>81</v>
      </c>
    </row>
    <row r="4" customFormat="false" ht="42" hidden="false" customHeight="true" outlineLevel="0" collapsed="false">
      <c r="A4" s="13" t="s">
        <v>30</v>
      </c>
      <c r="B4" s="13" t="s">
        <v>82</v>
      </c>
      <c r="C4" s="13" t="s">
        <v>83</v>
      </c>
      <c r="D4" s="13" t="s">
        <v>84</v>
      </c>
      <c r="E4" s="13" t="s">
        <v>85</v>
      </c>
      <c r="F4" s="13" t="s">
        <v>86</v>
      </c>
      <c r="G4" s="13" t="s">
        <v>87</v>
      </c>
      <c r="H4" s="13" t="s">
        <v>88</v>
      </c>
      <c r="I4" s="13" t="s">
        <v>89</v>
      </c>
      <c r="J4" s="13" t="s">
        <v>90</v>
      </c>
      <c r="K4" s="13" t="s">
        <v>91</v>
      </c>
      <c r="L4" s="13" t="s">
        <v>92</v>
      </c>
    </row>
    <row r="5" customFormat="false" ht="15" hidden="false" customHeight="false" outlineLevel="0" collapsed="false">
      <c r="A5" s="28" t="str">
        <f aca="false">Filters!A23&amp;" ("&amp;Filters!B23&amp;")"</f>
        <v>1 (40 m)</v>
      </c>
      <c r="B5" s="14" t="s">
        <v>93</v>
      </c>
      <c r="C5" s="29" t="n">
        <f aca="false">Filters!H23</f>
        <v>446.011432455864</v>
      </c>
      <c r="D5" s="30" t="n">
        <v>390</v>
      </c>
      <c r="E5" s="28" t="str">
        <f aca="false">IFERROR(INDEX('LCSC Parts'!$D$5:$D$12,MATCH(D5,'LCSC Parts'!$A$5:$A$12,0)),"not verified")</f>
        <v>C326659</v>
      </c>
      <c r="F5" s="30" t="n">
        <v>47</v>
      </c>
      <c r="G5" s="28" t="str">
        <f aca="false">IFERROR(INDEX('LCSC Parts'!$D$5:$D$12,MATCH(F5,'LCSC Parts'!$A$5:$A$12,0)),"not verified")</f>
        <v>C107176</v>
      </c>
      <c r="H5" s="31" t="n">
        <f aca="false">D5+F5</f>
        <v>437</v>
      </c>
      <c r="I5" s="32" t="n">
        <f aca="false">H5/C5-1</f>
        <v>-0.0202044875985461</v>
      </c>
      <c r="J5" s="30" t="n">
        <v>2</v>
      </c>
      <c r="K5" s="33" t="n">
        <f aca="false">J5*2</f>
        <v>4</v>
      </c>
      <c r="L5" s="34" t="n">
        <f aca="false">IFERROR(MIN(INDEX('LCSC Parts'!$H$5:$H$12,MATCH(D5,'LCSC Parts'!$A$5:$A$12,0)),INDEX('LCSC Parts'!$H$5:$H$12,MATCH(F5,'LCSC Parts'!$A$5:$A$12,0))),"n/a")</f>
        <v>14340</v>
      </c>
    </row>
    <row r="6" customFormat="false" ht="15" hidden="false" customHeight="false" outlineLevel="0" collapsed="false">
      <c r="A6" s="28" t="str">
        <f aca="false">Filters!A23&amp;" ("&amp;Filters!B23&amp;")"</f>
        <v>1 (40 m)</v>
      </c>
      <c r="B6" s="14" t="s">
        <v>94</v>
      </c>
      <c r="C6" s="29" t="n">
        <f aca="false">Filters!J23</f>
        <v>791.696724035058</v>
      </c>
      <c r="D6" s="30" t="n">
        <v>390</v>
      </c>
      <c r="E6" s="28" t="str">
        <f aca="false">IFERROR(INDEX('LCSC Parts'!$D$5:$D$12,MATCH(D6,'LCSC Parts'!$A$5:$A$12,0)),"not verified")</f>
        <v>C326659</v>
      </c>
      <c r="F6" s="30" t="n">
        <v>390</v>
      </c>
      <c r="G6" s="28" t="str">
        <f aca="false">IFERROR(INDEX('LCSC Parts'!$D$5:$D$12,MATCH(F6,'LCSC Parts'!$A$5:$A$12,0)),"not verified")</f>
        <v>C326659</v>
      </c>
      <c r="H6" s="31" t="n">
        <f aca="false">D6+F6</f>
        <v>780</v>
      </c>
      <c r="I6" s="32" t="n">
        <f aca="false">H6/C6-1</f>
        <v>-0.0147742483705667</v>
      </c>
      <c r="J6" s="30" t="n">
        <v>2</v>
      </c>
      <c r="K6" s="33" t="n">
        <f aca="false">J6*2</f>
        <v>4</v>
      </c>
      <c r="L6" s="34" t="n">
        <f aca="false">IFERROR(MIN(INDEX('LCSC Parts'!$H$5:$H$12,MATCH(D6,'LCSC Parts'!$A$5:$A$12,0)),INDEX('LCSC Parts'!$H$5:$H$12,MATCH(F6,'LCSC Parts'!$A$5:$A$12,0))),"n/a")</f>
        <v>14340</v>
      </c>
    </row>
    <row r="7" customFormat="false" ht="15" hidden="false" customHeight="false" outlineLevel="0" collapsed="false">
      <c r="A7" s="28" t="str">
        <f aca="false">Filters!A24&amp;" ("&amp;Filters!B24&amp;")"</f>
        <v>2 (30 m)</v>
      </c>
      <c r="B7" s="14" t="s">
        <v>93</v>
      </c>
      <c r="C7" s="29" t="n">
        <f aca="false">Filters!H24</f>
        <v>329.813717158152</v>
      </c>
      <c r="D7" s="30" t="n">
        <v>220</v>
      </c>
      <c r="E7" s="28" t="str">
        <f aca="false">IFERROR(INDEX('LCSC Parts'!$D$5:$D$12,MATCH(D7,'LCSC Parts'!$A$5:$A$12,0)),"not verified")</f>
        <v>C107175</v>
      </c>
      <c r="F7" s="30" t="n">
        <v>100</v>
      </c>
      <c r="G7" s="28" t="str">
        <f aca="false">IFERROR(INDEX('LCSC Parts'!$D$5:$D$12,MATCH(F7,'LCSC Parts'!$A$5:$A$12,0)),"not verified")</f>
        <v>C107173</v>
      </c>
      <c r="H7" s="31" t="n">
        <f aca="false">D7+F7</f>
        <v>320</v>
      </c>
      <c r="I7" s="32" t="n">
        <f aca="false">H7/C7-1</f>
        <v>-0.0297553335340699</v>
      </c>
      <c r="J7" s="30" t="n">
        <v>2</v>
      </c>
      <c r="K7" s="33" t="n">
        <f aca="false">J7*2</f>
        <v>4</v>
      </c>
      <c r="L7" s="34" t="n">
        <f aca="false">IFERROR(MIN(INDEX('LCSC Parts'!$H$5:$H$12,MATCH(D7,'LCSC Parts'!$A$5:$A$12,0)),INDEX('LCSC Parts'!$H$5:$H$12,MATCH(F7,'LCSC Parts'!$A$5:$A$12,0))),"n/a")</f>
        <v>37380</v>
      </c>
    </row>
    <row r="8" customFormat="false" ht="15" hidden="false" customHeight="false" outlineLevel="0" collapsed="false">
      <c r="A8" s="28" t="str">
        <f aca="false">Filters!A24&amp;" ("&amp;Filters!B24&amp;")"</f>
        <v>2 (30 m)</v>
      </c>
      <c r="B8" s="14" t="s">
        <v>94</v>
      </c>
      <c r="C8" s="29" t="n">
        <f aca="false">Filters!J24</f>
        <v>585.438893299609</v>
      </c>
      <c r="D8" s="30" t="n">
        <v>390</v>
      </c>
      <c r="E8" s="28" t="str">
        <f aca="false">IFERROR(INDEX('LCSC Parts'!$D$5:$D$12,MATCH(D8,'LCSC Parts'!$A$5:$A$12,0)),"not verified")</f>
        <v>C326659</v>
      </c>
      <c r="F8" s="30" t="n">
        <v>180</v>
      </c>
      <c r="G8" s="28" t="str">
        <f aca="false">IFERROR(INDEX('LCSC Parts'!$D$5:$D$12,MATCH(F8,'LCSC Parts'!$A$5:$A$12,0)),"not verified")</f>
        <v>C527266</v>
      </c>
      <c r="H8" s="31" t="n">
        <f aca="false">D8+F8</f>
        <v>570</v>
      </c>
      <c r="I8" s="32" t="n">
        <f aca="false">H8/C8-1</f>
        <v>-0.0263714855236095</v>
      </c>
      <c r="J8" s="30" t="n">
        <v>2</v>
      </c>
      <c r="K8" s="33" t="n">
        <f aca="false">J8*2</f>
        <v>4</v>
      </c>
      <c r="L8" s="34" t="n">
        <f aca="false">IFERROR(MIN(INDEX('LCSC Parts'!$H$5:$H$12,MATCH(D8,'LCSC Parts'!$A$5:$A$12,0)),INDEX('LCSC Parts'!$H$5:$H$12,MATCH(F8,'LCSC Parts'!$A$5:$A$12,0))),"n/a")</f>
        <v>5880</v>
      </c>
    </row>
    <row r="9" customFormat="false" ht="15" hidden="false" customHeight="false" outlineLevel="0" collapsed="false">
      <c r="A9" s="28" t="str">
        <f aca="false">Filters!A25&amp;" ("&amp;Filters!B25&amp;")"</f>
        <v>3 (20 m)</v>
      </c>
      <c r="B9" s="14" t="s">
        <v>93</v>
      </c>
      <c r="C9" s="29" t="n">
        <f aca="false">Filters!H25</f>
        <v>219.875811438768</v>
      </c>
      <c r="D9" s="30" t="n">
        <v>180</v>
      </c>
      <c r="E9" s="28" t="str">
        <f aca="false">IFERROR(INDEX('LCSC Parts'!$D$5:$D$12,MATCH(D9,'LCSC Parts'!$A$5:$A$12,0)),"not verified")</f>
        <v>C527266</v>
      </c>
      <c r="F9" s="30" t="n">
        <v>47</v>
      </c>
      <c r="G9" s="28" t="str">
        <f aca="false">IFERROR(INDEX('LCSC Parts'!$D$5:$D$12,MATCH(F9,'LCSC Parts'!$A$5:$A$12,0)),"not verified")</f>
        <v>C107176</v>
      </c>
      <c r="H9" s="31" t="n">
        <f aca="false">D9+F9</f>
        <v>227</v>
      </c>
      <c r="I9" s="32" t="n">
        <f aca="false">H9/C9-1</f>
        <v>0.0324009654114037</v>
      </c>
      <c r="J9" s="30" t="n">
        <v>2</v>
      </c>
      <c r="K9" s="33" t="n">
        <f aca="false">J9*2</f>
        <v>4</v>
      </c>
      <c r="L9" s="34" t="n">
        <f aca="false">IFERROR(MIN(INDEX('LCSC Parts'!$H$5:$H$12,MATCH(D9,'LCSC Parts'!$A$5:$A$12,0)),INDEX('LCSC Parts'!$H$5:$H$12,MATCH(F9,'LCSC Parts'!$A$5:$A$12,0))),"n/a")</f>
        <v>5880</v>
      </c>
    </row>
    <row r="10" customFormat="false" ht="15" hidden="false" customHeight="false" outlineLevel="0" collapsed="false">
      <c r="A10" s="28" t="str">
        <f aca="false">Filters!A25&amp;" ("&amp;Filters!B25&amp;")"</f>
        <v>3 (20 m)</v>
      </c>
      <c r="B10" s="14" t="s">
        <v>94</v>
      </c>
      <c r="C10" s="29" t="n">
        <f aca="false">Filters!J25</f>
        <v>390.292595533072</v>
      </c>
      <c r="D10" s="30" t="n">
        <v>220</v>
      </c>
      <c r="E10" s="28" t="str">
        <f aca="false">IFERROR(INDEX('LCSC Parts'!$D$5:$D$12,MATCH(D10,'LCSC Parts'!$A$5:$A$12,0)),"not verified")</f>
        <v>C107175</v>
      </c>
      <c r="F10" s="30" t="n">
        <v>180</v>
      </c>
      <c r="G10" s="28" t="str">
        <f aca="false">IFERROR(INDEX('LCSC Parts'!$D$5:$D$12,MATCH(F10,'LCSC Parts'!$A$5:$A$12,0)),"not verified")</f>
        <v>C527266</v>
      </c>
      <c r="H10" s="31" t="n">
        <f aca="false">D10+F10</f>
        <v>400</v>
      </c>
      <c r="I10" s="32" t="n">
        <f aca="false">H10/C10-1</f>
        <v>0.0248721205014637</v>
      </c>
      <c r="J10" s="30" t="n">
        <v>2</v>
      </c>
      <c r="K10" s="33" t="n">
        <f aca="false">J10*2</f>
        <v>4</v>
      </c>
      <c r="L10" s="34" t="n">
        <f aca="false">IFERROR(MIN(INDEX('LCSC Parts'!$H$5:$H$12,MATCH(D10,'LCSC Parts'!$A$5:$A$12,0)),INDEX('LCSC Parts'!$H$5:$H$12,MATCH(F10,'LCSC Parts'!$A$5:$A$12,0))),"n/a")</f>
        <v>5880</v>
      </c>
    </row>
    <row r="11" customFormat="false" ht="15" hidden="false" customHeight="false" outlineLevel="0" collapsed="false">
      <c r="A11" s="28" t="str">
        <f aca="false">Filters!A26&amp;" ("&amp;Filters!B26&amp;")"</f>
        <v>4 (17 m + 15 m)</v>
      </c>
      <c r="B11" s="14" t="s">
        <v>93</v>
      </c>
      <c r="C11" s="29" t="n">
        <f aca="false">Filters!H26</f>
        <v>165.633320511143</v>
      </c>
      <c r="D11" s="30" t="n">
        <v>100</v>
      </c>
      <c r="E11" s="28" t="str">
        <f aca="false">IFERROR(INDEX('LCSC Parts'!$D$5:$D$12,MATCH(D11,'LCSC Parts'!$A$5:$A$12,0)),"not verified")</f>
        <v>C107173</v>
      </c>
      <c r="F11" s="30" t="n">
        <v>68</v>
      </c>
      <c r="G11" s="28" t="str">
        <f aca="false">IFERROR(INDEX('LCSC Parts'!$D$5:$D$12,MATCH(F11,'LCSC Parts'!$A$5:$A$12,0)),"not verified")</f>
        <v>C107178</v>
      </c>
      <c r="H11" s="31" t="n">
        <f aca="false">D11+F11</f>
        <v>168</v>
      </c>
      <c r="I11" s="32" t="n">
        <f aca="false">H11/C11-1</f>
        <v>0.0142886677726071</v>
      </c>
      <c r="J11" s="30" t="n">
        <v>2</v>
      </c>
      <c r="K11" s="33" t="n">
        <f aca="false">J11*2</f>
        <v>4</v>
      </c>
      <c r="L11" s="34" t="n">
        <f aca="false">IFERROR(MIN(INDEX('LCSC Parts'!$H$5:$H$12,MATCH(D11,'LCSC Parts'!$A$5:$A$12,0)),INDEX('LCSC Parts'!$H$5:$H$12,MATCH(F11,'LCSC Parts'!$A$5:$A$12,0))),"n/a")</f>
        <v>26900</v>
      </c>
    </row>
    <row r="12" customFormat="false" ht="15" hidden="false" customHeight="false" outlineLevel="0" collapsed="false">
      <c r="A12" s="28" t="str">
        <f aca="false">Filters!A26&amp;" ("&amp;Filters!B26&amp;")"</f>
        <v>4 (17 m + 15 m)</v>
      </c>
      <c r="B12" s="14" t="s">
        <v>94</v>
      </c>
      <c r="C12" s="29" t="n">
        <f aca="false">Filters!J26</f>
        <v>294.008959630641</v>
      </c>
      <c r="D12" s="30" t="n">
        <v>220</v>
      </c>
      <c r="E12" s="28" t="str">
        <f aca="false">IFERROR(INDEX('LCSC Parts'!$D$5:$D$12,MATCH(D12,'LCSC Parts'!$A$5:$A$12,0)),"not verified")</f>
        <v>C107175</v>
      </c>
      <c r="F12" s="30" t="n">
        <v>68</v>
      </c>
      <c r="G12" s="28" t="str">
        <f aca="false">IFERROR(INDEX('LCSC Parts'!$D$5:$D$12,MATCH(F12,'LCSC Parts'!$A$5:$A$12,0)),"not verified")</f>
        <v>C107178</v>
      </c>
      <c r="H12" s="31" t="n">
        <f aca="false">D12+F12</f>
        <v>288</v>
      </c>
      <c r="I12" s="32" t="n">
        <f aca="false">H12/C12-1</f>
        <v>-0.0204380153522854</v>
      </c>
      <c r="J12" s="30" t="n">
        <v>2</v>
      </c>
      <c r="K12" s="33" t="n">
        <f aca="false">J12*2</f>
        <v>4</v>
      </c>
      <c r="L12" s="34" t="n">
        <f aca="false">IFERROR(MIN(INDEX('LCSC Parts'!$H$5:$H$12,MATCH(D12,'LCSC Parts'!$A$5:$A$12,0)),INDEX('LCSC Parts'!$H$5:$H$12,MATCH(F12,'LCSC Parts'!$A$5:$A$12,0))),"n/a")</f>
        <v>26900</v>
      </c>
    </row>
    <row r="13" customFormat="false" ht="15" hidden="false" customHeight="false" outlineLevel="0" collapsed="false">
      <c r="A13" s="28" t="str">
        <f aca="false">Filters!A27&amp;" ("&amp;Filters!B27&amp;")"</f>
        <v>5 (12 m + 10 m)</v>
      </c>
      <c r="B13" s="14" t="s">
        <v>93</v>
      </c>
      <c r="C13" s="29" t="n">
        <f aca="false">Filters!H27</f>
        <v>119.361154781046</v>
      </c>
      <c r="D13" s="30" t="n">
        <v>100</v>
      </c>
      <c r="E13" s="28" t="str">
        <f aca="false">IFERROR(INDEX('LCSC Parts'!$D$5:$D$12,MATCH(D13,'LCSC Parts'!$A$5:$A$12,0)),"not verified")</f>
        <v>C107173</v>
      </c>
      <c r="F13" s="30" t="n">
        <v>22</v>
      </c>
      <c r="G13" s="28" t="str">
        <f aca="false">IFERROR(INDEX('LCSC Parts'!$D$5:$D$12,MATCH(F13,'LCSC Parts'!$A$5:$A$12,0)),"not verified")</f>
        <v>C107174</v>
      </c>
      <c r="H13" s="31" t="n">
        <f aca="false">D13+F13</f>
        <v>122</v>
      </c>
      <c r="I13" s="32" t="n">
        <f aca="false">H13/C13-1</f>
        <v>0.0221080738016908</v>
      </c>
      <c r="J13" s="30" t="n">
        <v>2</v>
      </c>
      <c r="K13" s="33" t="n">
        <f aca="false">J13*2</f>
        <v>4</v>
      </c>
      <c r="L13" s="34" t="n">
        <f aca="false">IFERROR(MIN(INDEX('LCSC Parts'!$H$5:$H$12,MATCH(D13,'LCSC Parts'!$A$5:$A$12,0)),INDEX('LCSC Parts'!$H$5:$H$12,MATCH(F13,'LCSC Parts'!$A$5:$A$12,0))),"n/a")</f>
        <v>168900</v>
      </c>
    </row>
    <row r="14" customFormat="false" ht="15" hidden="false" customHeight="false" outlineLevel="0" collapsed="false">
      <c r="A14" s="28" t="str">
        <f aca="false">Filters!A27&amp;" ("&amp;Filters!B27&amp;")"</f>
        <v>5 (12 m + 10 m)</v>
      </c>
      <c r="B14" s="14" t="s">
        <v>94</v>
      </c>
      <c r="C14" s="29" t="n">
        <f aca="false">Filters!J27</f>
        <v>211.873123289382</v>
      </c>
      <c r="D14" s="30" t="n">
        <v>180</v>
      </c>
      <c r="E14" s="28" t="str">
        <f aca="false">IFERROR(INDEX('LCSC Parts'!$D$5:$D$12,MATCH(D14,'LCSC Parts'!$A$5:$A$12,0)),"not verified")</f>
        <v>C527266</v>
      </c>
      <c r="F14" s="30" t="n">
        <v>27</v>
      </c>
      <c r="G14" s="28" t="str">
        <f aca="false">IFERROR(INDEX('LCSC Parts'!$D$5:$D$12,MATCH(F14,'LCSC Parts'!$A$5:$A$12,0)),"not verified")</f>
        <v>C541492</v>
      </c>
      <c r="H14" s="31" t="n">
        <f aca="false">D14+F14</f>
        <v>207</v>
      </c>
      <c r="I14" s="32" t="n">
        <f aca="false">H14/C14-1</f>
        <v>-0.0230001956535391</v>
      </c>
      <c r="J14" s="30" t="n">
        <v>2</v>
      </c>
      <c r="K14" s="33" t="n">
        <f aca="false">J14*2</f>
        <v>4</v>
      </c>
      <c r="L14" s="34" t="n">
        <f aca="false">IFERROR(MIN(INDEX('LCSC Parts'!$H$5:$H$12,MATCH(D14,'LCSC Parts'!$A$5:$A$12,0)),INDEX('LCSC Parts'!$H$5:$H$12,MATCH(F14,'LCSC Parts'!$A$5:$A$12,0))),"n/a")</f>
        <v>4880</v>
      </c>
    </row>
    <row r="15" customFormat="false" ht="15" hidden="false" customHeight="false" outlineLevel="0" collapsed="false">
      <c r="J15" s="35" t="s">
        <v>95</v>
      </c>
      <c r="K15" s="36" t="n">
        <f aca="false">SUM(K5:K14)</f>
        <v>40</v>
      </c>
    </row>
    <row r="17" customFormat="false" ht="15" hidden="false" customHeight="false" outlineLevel="0" collapsed="false">
      <c r="A17" s="35" t="s">
        <v>60</v>
      </c>
    </row>
    <row r="18" customFormat="false" ht="15" hidden="false" customHeight="false" outlineLevel="0" collapsed="false">
      <c r="A18" s="27" t="s">
        <v>96</v>
      </c>
    </row>
    <row r="19" customFormat="false" ht="15" hidden="false" customHeight="false" outlineLevel="0" collapsed="false">
      <c r="A19" s="27" t="s">
        <v>97</v>
      </c>
    </row>
    <row r="20" customFormat="false" ht="15" hidden="false" customHeight="false" outlineLevel="0" collapsed="false">
      <c r="A20" s="27" t="s">
        <v>98</v>
      </c>
    </row>
    <row r="21" customFormat="false" ht="15" hidden="false" customHeight="false" outlineLevel="0" collapsed="false">
      <c r="A21" s="27" t="s">
        <v>99</v>
      </c>
    </row>
    <row r="22" customFormat="false" ht="15" hidden="false" customHeight="false" outlineLevel="0" collapsed="false">
      <c r="A22" s="27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26"/>
    <col collapsed="false" customWidth="true" hidden="false" outlineLevel="0" max="11" min="11" style="0" width="48"/>
  </cols>
  <sheetData>
    <row r="1" customFormat="false" ht="17.35" hidden="false" customHeight="false" outlineLevel="0" collapsed="false">
      <c r="A1" s="26" t="s">
        <v>101</v>
      </c>
    </row>
    <row r="2" customFormat="false" ht="15" hidden="false" customHeight="false" outlineLevel="0" collapsed="false">
      <c r="A2" s="27" t="s">
        <v>102</v>
      </c>
    </row>
    <row r="4" customFormat="false" ht="42" hidden="false" customHeight="true" outlineLevel="0" collapsed="false">
      <c r="A4" s="13" t="s">
        <v>103</v>
      </c>
      <c r="B4" s="13" t="s">
        <v>104</v>
      </c>
      <c r="C4" s="13" t="s">
        <v>105</v>
      </c>
      <c r="D4" s="13" t="s">
        <v>106</v>
      </c>
      <c r="E4" s="13" t="s">
        <v>107</v>
      </c>
      <c r="F4" s="13" t="s">
        <v>108</v>
      </c>
      <c r="G4" s="13" t="s">
        <v>109</v>
      </c>
      <c r="H4" s="13" t="s">
        <v>110</v>
      </c>
      <c r="I4" s="13" t="s">
        <v>111</v>
      </c>
      <c r="J4" s="13" t="s">
        <v>112</v>
      </c>
      <c r="K4" s="13" t="s">
        <v>113</v>
      </c>
    </row>
    <row r="5" customFormat="false" ht="15" hidden="false" customHeight="false" outlineLevel="0" collapsed="false">
      <c r="A5" s="30" t="n">
        <v>22</v>
      </c>
      <c r="B5" s="37" t="s">
        <v>114</v>
      </c>
      <c r="C5" s="37" t="s">
        <v>115</v>
      </c>
      <c r="D5" s="37" t="s">
        <v>116</v>
      </c>
      <c r="E5" s="38" t="n">
        <v>1000</v>
      </c>
      <c r="F5" s="37" t="s">
        <v>117</v>
      </c>
      <c r="G5" s="37" t="s">
        <v>118</v>
      </c>
      <c r="H5" s="38" t="n">
        <v>347100</v>
      </c>
      <c r="I5" s="37" t="s">
        <v>119</v>
      </c>
      <c r="J5" s="39" t="n">
        <f aca="false">SUMPRODUCT(('Cap BOM'!$D$5:$D$14=A5)*'Cap BOM'!$J$5:$J$14)+SUMPRODUCT(('Cap BOM'!$F$5:$F$14=A5)*'Cap BOM'!$J$5:$J$14)</f>
        <v>2</v>
      </c>
      <c r="K5" s="40" t="s">
        <v>120</v>
      </c>
    </row>
    <row r="6" customFormat="false" ht="15" hidden="false" customHeight="false" outlineLevel="0" collapsed="false">
      <c r="A6" s="30" t="n">
        <v>27</v>
      </c>
      <c r="B6" s="37" t="s">
        <v>121</v>
      </c>
      <c r="C6" s="37" t="s">
        <v>115</v>
      </c>
      <c r="D6" s="37" t="s">
        <v>122</v>
      </c>
      <c r="E6" s="38" t="n">
        <v>1000</v>
      </c>
      <c r="F6" s="37" t="s">
        <v>117</v>
      </c>
      <c r="G6" s="37" t="s">
        <v>118</v>
      </c>
      <c r="H6" s="38" t="n">
        <v>4880</v>
      </c>
      <c r="I6" s="37" t="s">
        <v>119</v>
      </c>
      <c r="J6" s="39" t="n">
        <f aca="false">SUMPRODUCT(('Cap BOM'!$D$5:$D$14=A6)*'Cap BOM'!$J$5:$J$14)+SUMPRODUCT(('Cap BOM'!$F$5:$F$14=A6)*'Cap BOM'!$J$5:$J$14)</f>
        <v>2</v>
      </c>
      <c r="K6" s="40" t="s">
        <v>123</v>
      </c>
    </row>
    <row r="7" customFormat="false" ht="15" hidden="false" customHeight="false" outlineLevel="0" collapsed="false">
      <c r="A7" s="30" t="n">
        <v>47</v>
      </c>
      <c r="B7" s="37" t="s">
        <v>124</v>
      </c>
      <c r="C7" s="37" t="s">
        <v>115</v>
      </c>
      <c r="D7" s="37" t="s">
        <v>125</v>
      </c>
      <c r="E7" s="38" t="n">
        <v>1000</v>
      </c>
      <c r="F7" s="37" t="s">
        <v>117</v>
      </c>
      <c r="G7" s="37" t="s">
        <v>118</v>
      </c>
      <c r="H7" s="38" t="n">
        <v>47840</v>
      </c>
      <c r="I7" s="37" t="s">
        <v>119</v>
      </c>
      <c r="J7" s="39" t="n">
        <f aca="false">SUMPRODUCT(('Cap BOM'!$D$5:$D$14=A7)*'Cap BOM'!$J$5:$J$14)+SUMPRODUCT(('Cap BOM'!$F$5:$F$14=A7)*'Cap BOM'!$J$5:$J$14)</f>
        <v>4</v>
      </c>
      <c r="K7" s="40" t="s">
        <v>126</v>
      </c>
    </row>
    <row r="8" customFormat="false" ht="15" hidden="false" customHeight="false" outlineLevel="0" collapsed="false">
      <c r="A8" s="30" t="n">
        <v>68</v>
      </c>
      <c r="B8" s="37" t="s">
        <v>127</v>
      </c>
      <c r="C8" s="37" t="s">
        <v>115</v>
      </c>
      <c r="D8" s="37" t="s">
        <v>128</v>
      </c>
      <c r="E8" s="38" t="n">
        <v>1000</v>
      </c>
      <c r="F8" s="37" t="s">
        <v>117</v>
      </c>
      <c r="G8" s="37" t="s">
        <v>118</v>
      </c>
      <c r="H8" s="38" t="n">
        <v>26900</v>
      </c>
      <c r="I8" s="37" t="s">
        <v>119</v>
      </c>
      <c r="J8" s="39" t="n">
        <f aca="false">SUMPRODUCT(('Cap BOM'!$D$5:$D$14=A8)*'Cap BOM'!$J$5:$J$14)+SUMPRODUCT(('Cap BOM'!$F$5:$F$14=A8)*'Cap BOM'!$J$5:$J$14)</f>
        <v>4</v>
      </c>
      <c r="K8" s="40" t="s">
        <v>129</v>
      </c>
    </row>
    <row r="9" customFormat="false" ht="15" hidden="false" customHeight="false" outlineLevel="0" collapsed="false">
      <c r="A9" s="30" t="n">
        <v>100</v>
      </c>
      <c r="B9" s="37" t="s">
        <v>130</v>
      </c>
      <c r="C9" s="37" t="s">
        <v>115</v>
      </c>
      <c r="D9" s="37" t="s">
        <v>131</v>
      </c>
      <c r="E9" s="38" t="n">
        <v>1000</v>
      </c>
      <c r="F9" s="37" t="s">
        <v>117</v>
      </c>
      <c r="G9" s="37" t="s">
        <v>118</v>
      </c>
      <c r="H9" s="38" t="n">
        <v>168900</v>
      </c>
      <c r="I9" s="37" t="s">
        <v>119</v>
      </c>
      <c r="J9" s="39" t="n">
        <f aca="false">SUMPRODUCT(('Cap BOM'!$D$5:$D$14=A9)*'Cap BOM'!$J$5:$J$14)+SUMPRODUCT(('Cap BOM'!$F$5:$F$14=A9)*'Cap BOM'!$J$5:$J$14)</f>
        <v>6</v>
      </c>
      <c r="K9" s="40" t="s">
        <v>132</v>
      </c>
    </row>
    <row r="10" customFormat="false" ht="15" hidden="false" customHeight="false" outlineLevel="0" collapsed="false">
      <c r="A10" s="30" t="n">
        <v>180</v>
      </c>
      <c r="B10" s="37" t="s">
        <v>133</v>
      </c>
      <c r="C10" s="37" t="s">
        <v>115</v>
      </c>
      <c r="D10" s="37" t="s">
        <v>134</v>
      </c>
      <c r="E10" s="38" t="n">
        <v>2000</v>
      </c>
      <c r="F10" s="37" t="s">
        <v>117</v>
      </c>
      <c r="G10" s="37" t="s">
        <v>118</v>
      </c>
      <c r="H10" s="38" t="n">
        <v>5880</v>
      </c>
      <c r="I10" s="37" t="s">
        <v>119</v>
      </c>
      <c r="J10" s="39" t="n">
        <f aca="false">SUMPRODUCT(('Cap BOM'!$D$5:$D$14=A10)*'Cap BOM'!$J$5:$J$14)+SUMPRODUCT(('Cap BOM'!$F$5:$F$14=A10)*'Cap BOM'!$J$5:$J$14)</f>
        <v>8</v>
      </c>
      <c r="K10" s="40" t="s">
        <v>135</v>
      </c>
    </row>
    <row r="11" customFormat="false" ht="15" hidden="false" customHeight="false" outlineLevel="0" collapsed="false">
      <c r="A11" s="30" t="n">
        <v>220</v>
      </c>
      <c r="B11" s="37" t="s">
        <v>136</v>
      </c>
      <c r="C11" s="37" t="s">
        <v>115</v>
      </c>
      <c r="D11" s="37" t="s">
        <v>137</v>
      </c>
      <c r="E11" s="38" t="n">
        <v>1000</v>
      </c>
      <c r="F11" s="37" t="s">
        <v>117</v>
      </c>
      <c r="G11" s="37" t="s">
        <v>118</v>
      </c>
      <c r="H11" s="38" t="n">
        <v>37380</v>
      </c>
      <c r="I11" s="37" t="s">
        <v>119</v>
      </c>
      <c r="J11" s="39" t="n">
        <f aca="false">SUMPRODUCT(('Cap BOM'!$D$5:$D$14=A11)*'Cap BOM'!$J$5:$J$14)+SUMPRODUCT(('Cap BOM'!$F$5:$F$14=A11)*'Cap BOM'!$J$5:$J$14)</f>
        <v>6</v>
      </c>
      <c r="K11" s="40" t="s">
        <v>138</v>
      </c>
    </row>
    <row r="12" customFormat="false" ht="15" hidden="false" customHeight="false" outlineLevel="0" collapsed="false">
      <c r="A12" s="30" t="n">
        <v>390</v>
      </c>
      <c r="B12" s="37" t="s">
        <v>139</v>
      </c>
      <c r="C12" s="37" t="s">
        <v>115</v>
      </c>
      <c r="D12" s="37" t="s">
        <v>140</v>
      </c>
      <c r="E12" s="38" t="n">
        <v>1000</v>
      </c>
      <c r="F12" s="37" t="s">
        <v>117</v>
      </c>
      <c r="G12" s="37" t="s">
        <v>118</v>
      </c>
      <c r="H12" s="38" t="n">
        <v>14340</v>
      </c>
      <c r="I12" s="37" t="s">
        <v>119</v>
      </c>
      <c r="J12" s="39" t="n">
        <f aca="false">SUMPRODUCT(('Cap BOM'!$D$5:$D$14=A12)*'Cap BOM'!$J$5:$J$14)+SUMPRODUCT(('Cap BOM'!$F$5:$F$14=A12)*'Cap BOM'!$J$5:$J$14)</f>
        <v>8</v>
      </c>
      <c r="K12" s="40" t="s">
        <v>141</v>
      </c>
    </row>
    <row r="14" customFormat="false" ht="15" hidden="false" customHeight="false" outlineLevel="0" collapsed="false">
      <c r="A14" s="35" t="s">
        <v>142</v>
      </c>
    </row>
    <row r="15" customFormat="false" ht="31.5" hidden="false" customHeight="true" outlineLevel="0" collapsed="false">
      <c r="A15" s="13" t="s">
        <v>103</v>
      </c>
      <c r="B15" s="13" t="s">
        <v>104</v>
      </c>
      <c r="C15" s="13" t="s">
        <v>105</v>
      </c>
      <c r="D15" s="13" t="s">
        <v>106</v>
      </c>
      <c r="E15" s="13" t="s">
        <v>107</v>
      </c>
      <c r="F15" s="13" t="s">
        <v>108</v>
      </c>
      <c r="G15" s="13" t="s">
        <v>109</v>
      </c>
      <c r="H15" s="13" t="s">
        <v>110</v>
      </c>
      <c r="I15" s="13" t="s">
        <v>111</v>
      </c>
      <c r="J15" s="13" t="s">
        <v>143</v>
      </c>
      <c r="K15" s="13" t="s">
        <v>113</v>
      </c>
    </row>
    <row r="16" customFormat="false" ht="15" hidden="false" customHeight="false" outlineLevel="0" collapsed="false">
      <c r="A16" s="30" t="n">
        <v>470</v>
      </c>
      <c r="B16" s="37" t="s">
        <v>144</v>
      </c>
      <c r="C16" s="37" t="s">
        <v>115</v>
      </c>
      <c r="D16" s="37" t="s">
        <v>145</v>
      </c>
      <c r="E16" s="38" t="n">
        <v>1000</v>
      </c>
      <c r="F16" s="37" t="s">
        <v>117</v>
      </c>
      <c r="G16" s="37" t="s">
        <v>118</v>
      </c>
      <c r="H16" s="37" t="s">
        <v>146</v>
      </c>
      <c r="I16" s="37" t="s">
        <v>119</v>
      </c>
      <c r="J16" s="37" t="s">
        <v>147</v>
      </c>
      <c r="K16" s="40" t="s">
        <v>148</v>
      </c>
    </row>
    <row r="17" customFormat="false" ht="15" hidden="false" customHeight="false" outlineLevel="0" collapsed="false">
      <c r="A17" s="30" t="n">
        <v>820</v>
      </c>
      <c r="B17" s="37" t="s">
        <v>149</v>
      </c>
      <c r="C17" s="37" t="s">
        <v>115</v>
      </c>
      <c r="D17" s="37" t="s">
        <v>150</v>
      </c>
      <c r="E17" s="38" t="n">
        <v>1000</v>
      </c>
      <c r="F17" s="37" t="s">
        <v>117</v>
      </c>
      <c r="G17" s="37" t="s">
        <v>118</v>
      </c>
      <c r="H17" s="37" t="s">
        <v>151</v>
      </c>
      <c r="I17" s="37" t="s">
        <v>152</v>
      </c>
      <c r="J17" s="37" t="s">
        <v>153</v>
      </c>
      <c r="K17" s="40" t="s">
        <v>154</v>
      </c>
    </row>
    <row r="18" customFormat="false" ht="15" hidden="false" customHeight="false" outlineLevel="0" collapsed="false">
      <c r="A18" s="30" t="n">
        <v>10</v>
      </c>
      <c r="B18" s="37" t="s">
        <v>155</v>
      </c>
      <c r="C18" s="37" t="s">
        <v>156</v>
      </c>
      <c r="D18" s="37" t="s">
        <v>157</v>
      </c>
      <c r="E18" s="38" t="n">
        <v>1000</v>
      </c>
      <c r="F18" s="37" t="s">
        <v>117</v>
      </c>
      <c r="G18" s="37" t="s">
        <v>118</v>
      </c>
      <c r="H18" s="37" t="s">
        <v>158</v>
      </c>
      <c r="I18" s="37" t="s">
        <v>119</v>
      </c>
      <c r="J18" s="37" t="s">
        <v>159</v>
      </c>
      <c r="K18" s="40" t="s">
        <v>160</v>
      </c>
    </row>
    <row r="19" customFormat="false" ht="15" hidden="false" customHeight="false" outlineLevel="0" collapsed="false">
      <c r="A19" s="30" t="n">
        <v>390</v>
      </c>
      <c r="B19" s="37" t="s">
        <v>161</v>
      </c>
      <c r="C19" s="37" t="s">
        <v>156</v>
      </c>
      <c r="D19" s="37" t="s">
        <v>162</v>
      </c>
      <c r="E19" s="38" t="n">
        <v>1000</v>
      </c>
      <c r="F19" s="37" t="s">
        <v>117</v>
      </c>
      <c r="G19" s="37" t="s">
        <v>118</v>
      </c>
      <c r="H19" s="37" t="s">
        <v>163</v>
      </c>
      <c r="I19" s="37" t="s">
        <v>119</v>
      </c>
      <c r="J19" s="37" t="s">
        <v>164</v>
      </c>
      <c r="K19" s="40" t="s">
        <v>165</v>
      </c>
    </row>
    <row r="20" customFormat="false" ht="15" hidden="false" customHeight="false" outlineLevel="0" collapsed="false">
      <c r="A20" s="30" t="n">
        <v>680</v>
      </c>
      <c r="B20" s="37" t="s">
        <v>166</v>
      </c>
      <c r="C20" s="37" t="s">
        <v>156</v>
      </c>
      <c r="D20" s="37" t="s">
        <v>167</v>
      </c>
      <c r="E20" s="38" t="n">
        <v>1000</v>
      </c>
      <c r="F20" s="37" t="s">
        <v>117</v>
      </c>
      <c r="G20" s="37" t="s">
        <v>118</v>
      </c>
      <c r="H20" s="37" t="s">
        <v>163</v>
      </c>
      <c r="I20" s="37" t="s">
        <v>119</v>
      </c>
      <c r="J20" s="37" t="s">
        <v>164</v>
      </c>
      <c r="K20" s="40" t="s">
        <v>168</v>
      </c>
    </row>
  </sheetData>
  <hyperlinks>
    <hyperlink ref="K5" r:id="rId1" display="https://www.lcsc.com/product-detail/C107174.html"/>
    <hyperlink ref="K6" r:id="rId2" display="https://www.lcsc.com/product-detail/C541492.html"/>
    <hyperlink ref="K7" r:id="rId3" display="https://www.lcsc.com/product-detail/C107176.html"/>
    <hyperlink ref="K8" r:id="rId4" display="https://www.lcsc.com/product-detail/C107178.html"/>
    <hyperlink ref="K9" r:id="rId5" display="https://www.lcsc.com/product-detail/C107173.html"/>
    <hyperlink ref="K10" r:id="rId6" display="https://www.lcsc.com/product-detail/C527266.html"/>
    <hyperlink ref="K11" r:id="rId7" display="https://www.lcsc.com/product-detail/C107175.html"/>
    <hyperlink ref="K12" r:id="rId8" display="https://www.lcsc.com/product-detail/C326659.html"/>
    <hyperlink ref="K16" r:id="rId9" display="https://www.lcsc.com/product-detail/C107177.html"/>
    <hyperlink ref="K17" r:id="rId10" display="https://www.lcsc.com/product-detail/C527262.html"/>
    <hyperlink ref="K18" r:id="rId11" display="https://www.lcsc.com/product-detail/C77525.html"/>
    <hyperlink ref="K19" r:id="rId12" display="https://www.lcsc.com/product-detail/C77529.html"/>
    <hyperlink ref="K20" r:id="rId13" display="https://www.lcsc.com/product-detail/C384716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26" t="s">
        <v>169</v>
      </c>
    </row>
    <row r="3" customFormat="false" ht="15" hidden="false" customHeight="false" outlineLevel="0" collapsed="false">
      <c r="A3" s="41" t="s">
        <v>170</v>
      </c>
    </row>
    <row r="4" customFormat="false" ht="15" hidden="false" customHeight="false" outlineLevel="0" collapsed="false">
      <c r="A4" s="42" t="s">
        <v>171</v>
      </c>
    </row>
    <row r="5" customFormat="false" ht="15" hidden="false" customHeight="false" outlineLevel="0" collapsed="false">
      <c r="A5" s="42" t="s">
        <v>172</v>
      </c>
    </row>
    <row r="6" customFormat="false" ht="15" hidden="false" customHeight="false" outlineLevel="0" collapsed="false">
      <c r="A6" s="42"/>
    </row>
    <row r="7" customFormat="false" ht="15" hidden="false" customHeight="false" outlineLevel="0" collapsed="false">
      <c r="A7" s="41" t="s">
        <v>173</v>
      </c>
    </row>
    <row r="8" customFormat="false" ht="15" hidden="false" customHeight="false" outlineLevel="0" collapsed="false">
      <c r="A8" s="42" t="s">
        <v>174</v>
      </c>
    </row>
    <row r="9" customFormat="false" ht="23.85" hidden="false" customHeight="false" outlineLevel="0" collapsed="false">
      <c r="A9" s="42" t="s">
        <v>175</v>
      </c>
    </row>
    <row r="10" customFormat="false" ht="15" hidden="false" customHeight="false" outlineLevel="0" collapsed="false">
      <c r="A10" s="42"/>
    </row>
    <row r="11" customFormat="false" ht="15" hidden="false" customHeight="false" outlineLevel="0" collapsed="false">
      <c r="A11" s="41" t="s">
        <v>176</v>
      </c>
    </row>
    <row r="12" customFormat="false" ht="23.85" hidden="false" customHeight="false" outlineLevel="0" collapsed="false">
      <c r="A12" s="42" t="s">
        <v>177</v>
      </c>
    </row>
    <row r="13" customFormat="false" ht="15" hidden="false" customHeight="false" outlineLevel="0" collapsed="false">
      <c r="A13" s="42" t="s">
        <v>178</v>
      </c>
    </row>
    <row r="14" customFormat="false" ht="15" hidden="false" customHeight="false" outlineLevel="0" collapsed="false">
      <c r="A14" s="42" t="s">
        <v>179</v>
      </c>
    </row>
    <row r="15" customFormat="false" ht="15" hidden="false" customHeight="false" outlineLevel="0" collapsed="false">
      <c r="A15" s="42"/>
    </row>
    <row r="16" customFormat="false" ht="15" hidden="false" customHeight="false" outlineLevel="0" collapsed="false">
      <c r="A16" s="41" t="s">
        <v>180</v>
      </c>
    </row>
    <row r="17" customFormat="false" ht="23.85" hidden="false" customHeight="false" outlineLevel="0" collapsed="false">
      <c r="A17" s="42" t="s">
        <v>181</v>
      </c>
    </row>
    <row r="18" customFormat="false" ht="15" hidden="false" customHeight="false" outlineLevel="0" collapsed="false">
      <c r="A18" s="42" t="s">
        <v>182</v>
      </c>
    </row>
    <row r="19" customFormat="false" ht="15" hidden="false" customHeight="false" outlineLevel="0" collapsed="false">
      <c r="A19" s="42"/>
    </row>
    <row r="20" customFormat="false" ht="15" hidden="false" customHeight="false" outlineLevel="0" collapsed="false">
      <c r="A20" s="41" t="s">
        <v>183</v>
      </c>
    </row>
    <row r="21" customFormat="false" ht="15" hidden="false" customHeight="false" outlineLevel="0" collapsed="false">
      <c r="A21" s="42" t="s">
        <v>184</v>
      </c>
    </row>
    <row r="22" customFormat="false" ht="15" hidden="false" customHeight="false" outlineLevel="0" collapsed="false">
      <c r="A22" s="42" t="s">
        <v>185</v>
      </c>
    </row>
    <row r="23" customFormat="false" ht="15" hidden="false" customHeight="false" outlineLevel="0" collapsed="false">
      <c r="A23" s="42"/>
    </row>
    <row r="24" customFormat="false" ht="15" hidden="false" customHeight="false" outlineLevel="0" collapsed="false">
      <c r="A24" s="41" t="s">
        <v>186</v>
      </c>
    </row>
    <row r="25" customFormat="false" ht="15" hidden="false" customHeight="false" outlineLevel="0" collapsed="false">
      <c r="A25" s="42" t="s">
        <v>187</v>
      </c>
    </row>
    <row r="26" customFormat="false" ht="15" hidden="false" customHeight="false" outlineLevel="0" collapsed="false">
      <c r="A26" s="42" t="s">
        <v>188</v>
      </c>
    </row>
    <row r="27" customFormat="false" ht="15" hidden="false" customHeight="false" outlineLevel="0" collapsed="false">
      <c r="A27" s="4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2026-10-11T20:40:43Z</dcterms:created>
  <dc:creator>openpyxl</dc:creator>
  <dc:description/>
  <dc:language>en-US</dc:language>
  <cp:lastModifiedBy/>
  <dcterms:modified xsi:type="dcterms:W3CDTF">2026-10-11T20:53:09Z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